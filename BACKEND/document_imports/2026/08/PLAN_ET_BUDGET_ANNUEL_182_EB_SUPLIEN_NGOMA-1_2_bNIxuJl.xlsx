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plan ASL Makélékélé\"/>
    </mc:Choice>
  </mc:AlternateContent>
  <xr:revisionPtr revIDLastSave="0" documentId="13_ncr:1_{B9E58EE8-AF84-4EF0-8AAE-801727B8DA0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ycle 1 182 EB" sheetId="2" r:id="rId1"/>
    <sheet name="PLAN ANNUEL" sheetId="1" r:id="rId2"/>
  </sheets>
  <definedNames>
    <definedName name="_xlnm.Print_Area" localSheetId="1">'PLAN ANNUEL'!$A$1:$J$53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2" i="1"/>
  <c r="D27" i="1"/>
  <c r="G13" i="1"/>
  <c r="I13" i="1" s="1"/>
  <c r="G11" i="1"/>
  <c r="I11" i="1" s="1"/>
  <c r="D14" i="1"/>
  <c r="C14" i="1"/>
  <c r="G12" i="1"/>
  <c r="I12" i="1" s="1"/>
  <c r="G9" i="1"/>
  <c r="I9" i="1" s="1"/>
  <c r="G10" i="1"/>
  <c r="I10" i="1" s="1"/>
  <c r="I14" i="1" l="1"/>
  <c r="G14" i="1"/>
  <c r="K21" i="2"/>
  <c r="K22" i="2" s="1"/>
  <c r="K12" i="2"/>
</calcChain>
</file>

<file path=xl/sharedStrings.xml><?xml version="1.0" encoding="utf-8"?>
<sst xmlns="http://schemas.openxmlformats.org/spreadsheetml/2006/main" count="249" uniqueCount="208">
  <si>
    <t>N°</t>
  </si>
  <si>
    <t xml:space="preserve">Actions à méner </t>
  </si>
  <si>
    <t>Participants</t>
  </si>
  <si>
    <t>Résultats attendus</t>
  </si>
  <si>
    <t>Responsable</t>
  </si>
  <si>
    <t>Budget estimatif</t>
  </si>
  <si>
    <t>Dates</t>
  </si>
  <si>
    <t>LIBELLES</t>
  </si>
  <si>
    <t xml:space="preserve">NOMBRE </t>
  </si>
  <si>
    <t>PRIX UNITAIRE</t>
  </si>
  <si>
    <t>PRIX TOTAL</t>
  </si>
  <si>
    <t>Renforcement des capacités du responsable régional des statistiques</t>
  </si>
  <si>
    <t>DETAIL DU BUDGET ESTIMATIF 182 EB</t>
  </si>
  <si>
    <t>Stratégies</t>
  </si>
  <si>
    <t>PLAN ANNUEL DE L'ASSEMBLEE SPIRITUELLE LOCALE  DE MAKELEKELE</t>
  </si>
  <si>
    <t>EXPANSION ET CONSOLIDATION</t>
  </si>
  <si>
    <t>Objectifs spécifiques</t>
  </si>
  <si>
    <t>Total expansion et consolidation</t>
  </si>
  <si>
    <t>Total Action sociale</t>
  </si>
  <si>
    <t>Discours en cours dans la société</t>
  </si>
  <si>
    <t>Total Action Discours en cours dans la société</t>
  </si>
  <si>
    <t>PLAN  DU CYCLE 1 182 EB  ASSEMBLEE SPIRITUELLE LOCALE  DE MAKELEKELE</t>
  </si>
  <si>
    <t>Enseigner pendant les deux semaines de l'expansion</t>
  </si>
  <si>
    <t>Lieux</t>
  </si>
  <si>
    <t xml:space="preserve">Château d'eau   Diata  </t>
  </si>
  <si>
    <t>Du 05 au 19 mai</t>
  </si>
  <si>
    <t>Contacter 20 familles pour 50 contacts (Château d'eau)             Visiter 15 familles pour 50 contacts (Diata)</t>
  </si>
  <si>
    <t>Mobilisation générale de tous le participants par SMS, appel, Whatsapp, former des équipes d'enseignement pour les classes, les réunions,  groupes de préjeunes, travailler de facon rotative, tenir une réunion préparatoire</t>
  </si>
  <si>
    <t>Livet, Suplien, Félicy, Jourdain, Qudrat, Carine, Eveline, Wilfrid, Désiré, Gloire, Déo, Ramelia, Merveille, Joyce, Badi, André, Arden, Anis, Rice, Tiaty, Symplice, Capricia, Nathan, Ekolaka, Beni, Osée, Faaris, Amour, Serein, Sernique</t>
  </si>
  <si>
    <t>Assemblée Spirituelle Locale, Comité d'enseignement                        Gloire, Ramelia</t>
  </si>
  <si>
    <t>Toucher 100 personnes soit 45 familles</t>
  </si>
  <si>
    <t>Former les ressources humaines</t>
  </si>
  <si>
    <t>Créer les cercles d'études livres 1, 3 A1 et A2, 5 et 7</t>
  </si>
  <si>
    <t>Diata   Château d'eau</t>
  </si>
  <si>
    <t>Du 19 Mai au 31 juillet</t>
  </si>
  <si>
    <t>Campagnes de l'institut, cercles d'études (weekend, Vacances, Jours feriés), les tuteurs doivent travailler en équipe</t>
  </si>
  <si>
    <t>Qudrat et Merveille (livre 3A1 et A2), Félicy  et Osée(Livre 5), Jourdain et Symplice (Livre 7), Sernique et. (livre 1)</t>
  </si>
  <si>
    <t xml:space="preserve">Avoir à la fin du cycle 5 ressources livre1, 5 au livre 3 A1 et A2, 5 au livre 5 et 5 au livre 7 </t>
  </si>
  <si>
    <t>Carine, Déo, Colombe, Wilfrid, Suplien, Eveline, Capricia, Joyce, Gloire,Osée, Felicy, Sernique, Suplien, Désiré, Ramélia</t>
  </si>
  <si>
    <t>1. EXPANSION ET CONSOLIDATION</t>
  </si>
  <si>
    <t>Visiter l'Orphelinat de Diata</t>
  </si>
  <si>
    <t>Consulter avec l'équipe dirigeante de l'orphélinat de Diata</t>
  </si>
  <si>
    <t>Envoyer quelques membres de l'ASL</t>
  </si>
  <si>
    <t xml:space="preserve">L'orphélinat </t>
  </si>
  <si>
    <t>Maman Carine et Maman Eveline</t>
  </si>
  <si>
    <t>Fixer une date pour l'action saciale à  effectuer à l'orphélinat</t>
  </si>
  <si>
    <t>3. DISCOURS EN COURS DANS LA SOCIETE</t>
  </si>
  <si>
    <t>MCA et Membres de l'Assemblée, Cheffe de zone</t>
  </si>
  <si>
    <t>a. Expansion</t>
  </si>
  <si>
    <t>2. ACTION SOCIALE</t>
  </si>
  <si>
    <t>b. Consolidation</t>
  </si>
  <si>
    <t>Objectif annuel: amener la localité de Makélékélé à PIC</t>
  </si>
  <si>
    <t xml:space="preserve">Organiser une conférence de femmes </t>
  </si>
  <si>
    <t xml:space="preserve">Diata   </t>
  </si>
  <si>
    <t>Visiter les chefs de zones, de quartiers, la mairie et la police</t>
  </si>
  <si>
    <t>Ecrire à l'ASN l'approche à suivre concernant les frais à payer à la Gendarmérie</t>
  </si>
  <si>
    <t>ASL</t>
  </si>
  <si>
    <t>Contacts</t>
  </si>
  <si>
    <t>Durant l'année</t>
  </si>
  <si>
    <t>100 visites</t>
  </si>
  <si>
    <t>Rencontrer les responsables des orphelinats</t>
  </si>
  <si>
    <t>Jourrnée sportive</t>
  </si>
  <si>
    <t>les pre-jeunes, les coolaborateurs cercle d'étude, la communauté</t>
  </si>
  <si>
    <t>Se focaliser sur les jeunes identifier pendant la phase d'expansion pour former une équipe</t>
  </si>
  <si>
    <t>Accompagner l'orphelinat dans l'animation des activités éducatives de l'institut ruhi</t>
  </si>
  <si>
    <t>Visite de l'orphélinat afin d'identifier les potentielle ressources pouvant etre formée</t>
  </si>
  <si>
    <t>Chaque cycle</t>
  </si>
  <si>
    <t>Organiser une journée sportive chaque cycle pour la communauté</t>
  </si>
  <si>
    <t>1 er cycle</t>
  </si>
  <si>
    <t>Maman carine &amp; l'ami gloire</t>
  </si>
  <si>
    <t xml:space="preserve">Rencontrer la cheffe de bloc au niveau de Diata pour la visite de l'orphelinat </t>
  </si>
  <si>
    <t>Consulter sur les actions à mener au niveau du quartier château d'eau</t>
  </si>
  <si>
    <t>Le chef de bloc est partie prenante des activités dans le quartier</t>
  </si>
  <si>
    <t>PLAN</t>
  </si>
  <si>
    <t>REALISATION</t>
  </si>
  <si>
    <t>ECART</t>
  </si>
  <si>
    <t>Mouvement des quartiers</t>
  </si>
  <si>
    <t>Diata</t>
  </si>
  <si>
    <t>Château d'eau</t>
  </si>
  <si>
    <t>Bifouiti</t>
  </si>
  <si>
    <t>Moukoundzi ngouaka</t>
  </si>
  <si>
    <t>CIA</t>
  </si>
  <si>
    <t>CA</t>
  </si>
  <si>
    <t>Groupe de famille</t>
  </si>
  <si>
    <t>16 familles</t>
  </si>
  <si>
    <t>15 familles</t>
  </si>
  <si>
    <t xml:space="preserve">Objectif général: amener la localité de Makélékélé </t>
  </si>
  <si>
    <t>Tuteurs</t>
  </si>
  <si>
    <t>Animateurs GP</t>
  </si>
  <si>
    <t>Maitre de classes</t>
  </si>
  <si>
    <t>Hotes des RD</t>
  </si>
  <si>
    <t>Nouveau</t>
  </si>
  <si>
    <t>Ancien</t>
  </si>
  <si>
    <t>Total</t>
  </si>
  <si>
    <t>Cercle d'étude</t>
  </si>
  <si>
    <t>Objectif</t>
  </si>
  <si>
    <t>Ligne d'action</t>
  </si>
  <si>
    <t>Participation à la conférence d'enseignement</t>
  </si>
  <si>
    <t>Objectifs</t>
  </si>
  <si>
    <t>20 baha'is ont participer à la conférence d'enseignement</t>
  </si>
  <si>
    <t>Date</t>
  </si>
  <si>
    <t>Besoins</t>
  </si>
  <si>
    <t>Stratégie</t>
  </si>
  <si>
    <t>Visite à domicile dans les foyers baha'i</t>
  </si>
  <si>
    <t>14 au 22 juin 2026</t>
  </si>
  <si>
    <t>Dans les famille</t>
  </si>
  <si>
    <t>Communication et budget</t>
  </si>
  <si>
    <t>Envoyer des messages</t>
  </si>
  <si>
    <t>Carte d'invitation</t>
  </si>
  <si>
    <t>Préparer un visuel</t>
  </si>
  <si>
    <t>Belland</t>
  </si>
  <si>
    <t>Suplien</t>
  </si>
  <si>
    <t>10 au 17 juin 2026</t>
  </si>
  <si>
    <t>Expansion</t>
  </si>
  <si>
    <t>Nombre d'enseigant</t>
  </si>
  <si>
    <t>déclaration</t>
  </si>
  <si>
    <t>Rencontre des jeunes</t>
  </si>
  <si>
    <t>Quartier cycle</t>
  </si>
  <si>
    <t>Nombrede jeunes a enrolé</t>
  </si>
  <si>
    <t>Diata/Château d'eau/2 autres Q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</si>
  <si>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</si>
  <si>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</si>
  <si>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</si>
  <si>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</si>
  <si>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</si>
  <si>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</si>
  <si>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</si>
  <si>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</si>
  <si>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</si>
  <si>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</si>
  <si>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</si>
  <si>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</si>
  <si>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</si>
  <si>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Nombre</t>
  </si>
  <si>
    <t>Formation</t>
  </si>
  <si>
    <t>Nouvelle ressource</t>
  </si>
  <si>
    <t>Population baha'ie</t>
  </si>
  <si>
    <t>Membre de l'ASL</t>
  </si>
  <si>
    <t>Population baha'ie pour les livres superieurs</t>
  </si>
  <si>
    <t>Préparation de la pahse d'expansion</t>
  </si>
  <si>
    <t>Action Sociale</t>
  </si>
  <si>
    <t>Discours dans la société</t>
  </si>
  <si>
    <t>Vendredi 26 juin 2026</t>
  </si>
  <si>
    <t>A déterminer avec les responsables</t>
  </si>
  <si>
    <t>ASL &amp;Responsable Orphelinat</t>
  </si>
  <si>
    <t>KIHOULOU André</t>
  </si>
  <si>
    <t>Quelques membres ASL &amp; Communauté</t>
  </si>
  <si>
    <t>Avoir les autorisation de converser avec les jeunes de l'orphelinat</t>
  </si>
  <si>
    <t>Participation des jeunes aux Camps de l'institut</t>
  </si>
  <si>
    <t>5000 FCFA (partie sociale avec les jeunes)</t>
  </si>
  <si>
    <t>500 FCFA ( Communication)</t>
  </si>
  <si>
    <t>Salubrité des ruelles</t>
  </si>
  <si>
    <t>Organiser six(06) journée d'entretien pendant l'année 183 EB</t>
  </si>
  <si>
    <t>Organiser deux journée à Diata et Château d'eau , une journée à Bifouiti et à Mukundzinguaka</t>
  </si>
  <si>
    <t>Chaque deux mois</t>
  </si>
  <si>
    <t>Juin-Aout-Octobre-Decembre-Fevrier-Avril</t>
  </si>
  <si>
    <t>Communauté Baha'ie et la Communauté d'interet</t>
  </si>
  <si>
    <t>Qudrat &amp; Gloire</t>
  </si>
  <si>
    <t>Faitre participer chaque ami de la communauté au moins une fois; Impliquer dix autres familles de la communauté d'interet dans le projet de salubrité</t>
  </si>
  <si>
    <t>50 000 FCFA (Matériels et rafraichissement)</t>
  </si>
  <si>
    <t>Accompagner chaque activité à realiser au moins un projet /action  socilae</t>
  </si>
  <si>
    <t>Annimateurs/maitres/tuteurs/participants dans les activitées et autres</t>
  </si>
  <si>
    <t>Capricia &amp; Nabil</t>
  </si>
  <si>
    <t>Journée de service , S'appuyer sur les responsables d'accompagnement pour plannifier et suivre la réalisation de ces projets/action de service</t>
  </si>
  <si>
    <t>Organiser au moins 20 projets de service</t>
  </si>
  <si>
    <t>10 000 FCFA</t>
  </si>
  <si>
    <t>Sécretaire</t>
  </si>
  <si>
    <t>Mercredi 24 Juin 2026</t>
  </si>
  <si>
    <t>L'implication de la cheffe de zone</t>
  </si>
  <si>
    <t>Envoyer un courrier à la cheffe de zone contenant: le compte rendu de l'élection de l'ASL, le plan annuel en sollicitant sa participation et sollicuter une audience</t>
  </si>
  <si>
    <t>Apres consultation avec la cheffe de zone</t>
  </si>
  <si>
    <t>ASL / Cheffe de zone</t>
  </si>
  <si>
    <t>ASL / Chef de zone</t>
  </si>
  <si>
    <t>Rencontrer le chef de Zone et le chef du quartier pour l'organisation des series de formation à château d'eau</t>
  </si>
  <si>
    <t>Reprendre contact avec la cheffe de zone</t>
  </si>
  <si>
    <t>Vie Communautaire</t>
  </si>
  <si>
    <t>Visites à domicile</t>
  </si>
  <si>
    <t>Fete d'unité</t>
  </si>
  <si>
    <t>Rencontres des femmes</t>
  </si>
  <si>
    <t>Formation intensive chaque dimanche apres la dévotion</t>
  </si>
  <si>
    <t>Créer deux groupes de familles</t>
  </si>
  <si>
    <t>Encourager les membres d'ASL à organiser des visites-Chaque responsable d'activité est tenu d'avoir un plan de visite</t>
  </si>
  <si>
    <t>Membre de l'ASL/ les responsables des activités éducatives/ la communauté</t>
  </si>
  <si>
    <t xml:space="preserve">Qudrat </t>
  </si>
  <si>
    <t>2 fete d'unités sont organisées</t>
  </si>
  <si>
    <t>Organiser une fete au debut et à la fin de l'année accademique</t>
  </si>
  <si>
    <t>Octobre- novembre et Juin-juillet</t>
  </si>
  <si>
    <t xml:space="preserve">la communauté </t>
  </si>
  <si>
    <t>Déo et maman carine</t>
  </si>
  <si>
    <t>Espace d'orientation des jeunes</t>
  </si>
  <si>
    <t>Felicy</t>
  </si>
  <si>
    <t>Organiser un espace d'orientation des jeunes chaque cycle avec un theme bien precis</t>
  </si>
  <si>
    <t>les jeunes de la localité et d'ailleurs</t>
  </si>
  <si>
    <t>100 jeunes ont pris part aux espaces d'orientation</t>
  </si>
  <si>
    <t>chaque groupe sera crée autour de la famille KHAM et la famille MADZOU</t>
  </si>
  <si>
    <t>premier cycle</t>
  </si>
  <si>
    <t>les membres de chaque famille et les autres familles identifiées</t>
  </si>
  <si>
    <t>Supplien</t>
  </si>
  <si>
    <t>Deux groupes de familles sont crées et commencent à consulter ensemble</t>
  </si>
  <si>
    <t>les cercles d'études intensives seront organiser apres chaque dévotion et les jours feriés</t>
  </si>
  <si>
    <t>chaque dimanche et les jours fériés</t>
  </si>
  <si>
    <t>les jeunes et adultes de la communauté</t>
  </si>
  <si>
    <t>Simplice</t>
  </si>
  <si>
    <t>En fin d'année chaque ami  étudie au moins trois nouveaux livres</t>
  </si>
  <si>
    <t>Organiser deux rencontres de femmes</t>
  </si>
  <si>
    <t>Carine et M. KIHOULOU</t>
  </si>
  <si>
    <t>les femmes de la communauté baha'ie et la communauté d'interet</t>
  </si>
  <si>
    <t>Novembre - 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</si>
</sst>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[$FCFA-2C0C]_-;\-* #,##0.00\ [$FCFA-2C0C]_-;_-* &quot;-&quot;??\ [$FCFA-2C0C]_-;_-@_-"/>
    <numFmt numFmtId="165" formatCode="_-* #,##0\ [$FCFA-2C0C]_-;\-* #,##0\ [$FCFA-2C0C]_-;_-* &quot;-&quot;??\ [$FCFA-2C0C]_-;_-@_-"/>
    <numFmt numFmtId="166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0"/>
      <name val="Garamond"/>
      <family val="1"/>
    </font>
    <font>
      <b/>
      <sz val="12"/>
      <color theme="1"/>
      <name val="Garamond"/>
      <family val="1"/>
    </font>
    <font>
      <b/>
      <sz val="14"/>
      <color theme="0"/>
      <name val="Garamond"/>
      <family val="1"/>
    </font>
    <font>
      <sz val="11"/>
      <color theme="1"/>
      <name val="Garamond"/>
      <family val="1"/>
    </font>
    <font>
      <b/>
      <sz val="14"/>
      <color theme="1"/>
      <name val="Garamond"/>
      <family val="1"/>
    </font>
    <font>
      <sz val="14"/>
      <color theme="1"/>
      <name val="Garamond"/>
      <family val="1"/>
    </font>
    <font>
      <sz val="10"/>
      <color theme="1"/>
      <name val="Garamond"/>
      <family val="1"/>
    </font>
    <font>
      <b/>
      <sz val="12"/>
      <color rgb="FFFF0000"/>
      <name val="Garamond"/>
      <family val="1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9" xfId="0" applyFont="1" applyBorder="1" applyAlignment="1">
      <alignment vertical="top" wrapText="1"/>
    </xf>
    <xf numFmtId="165" fontId="1" fillId="0" borderId="0" xfId="0" applyNumberFormat="1" applyFont="1"/>
    <xf numFmtId="165" fontId="1" fillId="0" borderId="10" xfId="0" applyNumberFormat="1" applyFont="1" applyBorder="1"/>
    <xf numFmtId="165" fontId="1" fillId="0" borderId="4" xfId="0" applyNumberFormat="1" applyFont="1" applyBorder="1"/>
    <xf numFmtId="165" fontId="3" fillId="0" borderId="4" xfId="0" applyNumberFormat="1" applyFont="1" applyBorder="1" applyAlignment="1">
      <alignment vertical="center"/>
    </xf>
    <xf numFmtId="165" fontId="3" fillId="0" borderId="4" xfId="0" applyNumberFormat="1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165" fontId="1" fillId="0" borderId="3" xfId="0" applyNumberFormat="1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165" fontId="1" fillId="0" borderId="9" xfId="0" applyNumberFormat="1" applyFont="1" applyBorder="1"/>
    <xf numFmtId="0" fontId="1" fillId="0" borderId="23" xfId="0" applyFont="1" applyBorder="1"/>
    <xf numFmtId="0" fontId="1" fillId="0" borderId="24" xfId="0" applyFont="1" applyBorder="1" applyAlignment="1">
      <alignment horizontal="center"/>
    </xf>
    <xf numFmtId="165" fontId="1" fillId="0" borderId="24" xfId="0" applyNumberFormat="1" applyFont="1" applyBorder="1"/>
    <xf numFmtId="165" fontId="1" fillId="0" borderId="25" xfId="0" applyNumberFormat="1" applyFont="1" applyBorder="1"/>
    <xf numFmtId="165" fontId="3" fillId="0" borderId="22" xfId="0" applyNumberFormat="1" applyFont="1" applyBorder="1"/>
    <xf numFmtId="0" fontId="2" fillId="2" borderId="14" xfId="0" applyFont="1" applyFill="1" applyBorder="1"/>
    <xf numFmtId="165" fontId="2" fillId="6" borderId="7" xfId="0" applyNumberFormat="1" applyFont="1" applyFill="1" applyBorder="1"/>
    <xf numFmtId="165" fontId="3" fillId="0" borderId="7" xfId="0" applyNumberFormat="1" applyFont="1" applyBorder="1"/>
    <xf numFmtId="0" fontId="1" fillId="0" borderId="16" xfId="0" applyFont="1" applyBorder="1"/>
    <xf numFmtId="165" fontId="1" fillId="0" borderId="16" xfId="0" applyNumberFormat="1" applyFont="1" applyBorder="1"/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5" fontId="3" fillId="0" borderId="1" xfId="0" applyNumberFormat="1" applyFont="1" applyBorder="1"/>
    <xf numFmtId="165" fontId="3" fillId="0" borderId="31" xfId="0" applyNumberFormat="1" applyFont="1" applyBorder="1"/>
    <xf numFmtId="0" fontId="1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9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vertical="top" wrapText="1"/>
    </xf>
    <xf numFmtId="165" fontId="6" fillId="0" borderId="10" xfId="0" applyNumberFormat="1" applyFont="1" applyBorder="1" applyAlignment="1">
      <alignment vertical="center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center" wrapText="1"/>
    </xf>
    <xf numFmtId="165" fontId="6" fillId="0" borderId="4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17" fontId="7" fillId="0" borderId="3" xfId="0" applyNumberFormat="1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top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0" fontId="1" fillId="0" borderId="37" xfId="0" applyFont="1" applyBorder="1"/>
    <xf numFmtId="0" fontId="3" fillId="5" borderId="37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3" fillId="0" borderId="37" xfId="0" applyNumberFormat="1" applyFont="1" applyBorder="1" applyAlignment="1">
      <alignment vertical="center"/>
    </xf>
    <xf numFmtId="165" fontId="3" fillId="0" borderId="37" xfId="0" applyNumberFormat="1" applyFont="1" applyBorder="1"/>
    <xf numFmtId="0" fontId="3" fillId="0" borderId="3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164" fontId="1" fillId="0" borderId="37" xfId="0" applyNumberFormat="1" applyFont="1" applyBorder="1"/>
    <xf numFmtId="0" fontId="1" fillId="0" borderId="0" xfId="0" applyFont="1" applyAlignment="1">
      <alignment wrapText="1"/>
    </xf>
    <xf numFmtId="0" fontId="7" fillId="0" borderId="39" xfId="0" applyFont="1" applyBorder="1" applyAlignment="1">
      <alignment horizontal="left" vertical="center" wrapText="1"/>
    </xf>
    <xf numFmtId="0" fontId="7" fillId="0" borderId="39" xfId="0" applyFont="1" applyBorder="1" applyAlignment="1">
      <alignment vertical="top" wrapText="1"/>
    </xf>
    <xf numFmtId="0" fontId="5" fillId="0" borderId="39" xfId="0" applyFont="1" applyBorder="1" applyAlignment="1">
      <alignment vertical="top" wrapText="1"/>
    </xf>
    <xf numFmtId="0" fontId="7" fillId="0" borderId="39" xfId="0" applyFont="1" applyBorder="1" applyAlignment="1">
      <alignment vertical="center" wrapText="1"/>
    </xf>
    <xf numFmtId="0" fontId="8" fillId="0" borderId="39" xfId="0" applyFont="1" applyBorder="1" applyAlignment="1">
      <alignment vertical="top" wrapText="1"/>
    </xf>
    <xf numFmtId="0" fontId="7" fillId="0" borderId="39" xfId="0" applyFont="1" applyBorder="1" applyAlignment="1">
      <alignment horizontal="center" vertical="center" wrapText="1"/>
    </xf>
    <xf numFmtId="165" fontId="6" fillId="0" borderId="40" xfId="0" applyNumberFormat="1" applyFont="1" applyBorder="1" applyAlignment="1">
      <alignment vertical="center"/>
    </xf>
    <xf numFmtId="0" fontId="7" fillId="8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7" fillId="7" borderId="38" xfId="0" applyFont="1" applyFill="1" applyBorder="1" applyAlignment="1">
      <alignment horizontal="center" vertical="center"/>
    </xf>
    <xf numFmtId="0" fontId="5" fillId="0" borderId="39" xfId="0" applyFont="1" applyBorder="1" applyAlignment="1">
      <alignment vertical="center" wrapText="1"/>
    </xf>
    <xf numFmtId="0" fontId="8" fillId="0" borderId="39" xfId="0" applyFont="1" applyBorder="1" applyAlignment="1">
      <alignment vertical="center" wrapText="1"/>
    </xf>
    <xf numFmtId="0" fontId="7" fillId="2" borderId="38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vertical="center" wrapText="1"/>
    </xf>
    <xf numFmtId="0" fontId="3" fillId="0" borderId="42" xfId="0" applyFont="1" applyBorder="1" applyAlignment="1">
      <alignment horizontal="center"/>
    </xf>
    <xf numFmtId="0" fontId="9" fillId="5" borderId="37" xfId="0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" fontId="3" fillId="5" borderId="37" xfId="0" applyNumberFormat="1" applyFont="1" applyFill="1" applyBorder="1" applyAlignment="1">
      <alignment horizontal="center" vertical="center"/>
    </xf>
    <xf numFmtId="0" fontId="3" fillId="10" borderId="3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165" fontId="2" fillId="4" borderId="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5" fontId="2" fillId="4" borderId="20" xfId="0" applyNumberFormat="1" applyFont="1" applyFill="1" applyBorder="1" applyAlignment="1">
      <alignment horizontal="center"/>
    </xf>
    <xf numFmtId="165" fontId="2" fillId="4" borderId="21" xfId="0" applyNumberFormat="1" applyFont="1" applyFill="1" applyBorder="1" applyAlignment="1">
      <alignment horizontal="center"/>
    </xf>
    <xf numFmtId="165" fontId="2" fillId="4" borderId="22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5" borderId="46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166" fontId="3" fillId="5" borderId="46" xfId="1" applyNumberFormat="1" applyFont="1" applyFill="1" applyBorder="1" applyAlignment="1">
      <alignment horizontal="center" vertical="center"/>
    </xf>
    <xf numFmtId="166" fontId="3" fillId="5" borderId="47" xfId="1" applyNumberFormat="1" applyFont="1" applyFill="1" applyBorder="1" applyAlignment="1">
      <alignment horizontal="center" vertical="center"/>
    </xf>
    <xf numFmtId="166" fontId="3" fillId="5" borderId="48" xfId="1" applyNumberFormat="1" applyFont="1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37" xfId="0" applyFont="1" applyBorder="1" applyAlignment="1">
      <alignment horizontal="center"/>
    </xf>
    <xf numFmtId="0" fontId="3" fillId="5" borderId="37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 wrapText="1"/>
    </xf>
    <xf numFmtId="0" fontId="3" fillId="5" borderId="47" xfId="0" applyFont="1" applyFill="1" applyBorder="1" applyAlignment="1">
      <alignment horizontal="center" vertical="center" wrapText="1"/>
    </xf>
    <xf numFmtId="0" fontId="3" fillId="5" borderId="48" xfId="0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opLeftCell="A3" zoomScale="86" zoomScaleNormal="100" workbookViewId="0">
      <pane ySplit="2" topLeftCell="A5" activePane="bottomLeft" state="frozen"/>
      <selection activeCell="A3" sqref="A3"/>
      <selection pane="bottomLeft" activeCell="C20" sqref="C20:C21"/>
    </sheetView>
  </sheetViews>
  <sheetFormatPr baseColWidth="10" defaultRowHeight="14.5" x14ac:dyDescent="0.35"/>
  <cols>
    <col min="1" max="1" width="20" customWidth="1"/>
    <col min="2" max="2" width="4.36328125" customWidth="1"/>
    <col min="3" max="3" width="24.08984375" bestFit="1" customWidth="1"/>
    <col min="4" max="4" width="19.453125" bestFit="1" customWidth="1"/>
    <col min="5" max="5" width="26.54296875" customWidth="1"/>
    <col min="6" max="6" width="15.453125" customWidth="1"/>
    <col min="8" max="8" width="20.54296875" customWidth="1"/>
    <col min="9" max="9" width="23.1796875" customWidth="1"/>
    <col min="10" max="10" width="20.54296875" customWidth="1"/>
    <col min="11" max="11" width="20.36328125" customWidth="1"/>
  </cols>
  <sheetData>
    <row r="1" spans="1:11" ht="15" thickBot="1" x14ac:dyDescent="0.4"/>
    <row r="2" spans="1:11" s="1" customFormat="1" ht="16.5" thickTop="1" thickBot="1" x14ac:dyDescent="0.4">
      <c r="D2" s="125" t="s">
        <v>21</v>
      </c>
      <c r="E2" s="126"/>
      <c r="F2" s="126"/>
      <c r="G2" s="126"/>
      <c r="H2" s="126"/>
      <c r="I2" s="127"/>
      <c r="K2" s="2"/>
    </row>
    <row r="3" spans="1:11" s="1" customFormat="1" ht="16.5" thickTop="1" thickBot="1" x14ac:dyDescent="0.4">
      <c r="K3" s="2"/>
    </row>
    <row r="4" spans="1:11" s="1" customFormat="1" ht="19" thickTop="1" thickBot="1" x14ac:dyDescent="0.45">
      <c r="B4" s="37" t="s">
        <v>0</v>
      </c>
      <c r="C4" s="37" t="s">
        <v>16</v>
      </c>
      <c r="D4" s="37" t="s">
        <v>1</v>
      </c>
      <c r="E4" s="37" t="s">
        <v>13</v>
      </c>
      <c r="F4" s="37" t="s">
        <v>23</v>
      </c>
      <c r="G4" s="37" t="s">
        <v>6</v>
      </c>
      <c r="H4" s="37" t="s">
        <v>2</v>
      </c>
      <c r="I4" s="37" t="s">
        <v>4</v>
      </c>
      <c r="J4" s="37" t="s">
        <v>3</v>
      </c>
      <c r="K4" s="38" t="s">
        <v>5</v>
      </c>
    </row>
    <row r="5" spans="1:11" s="1" customFormat="1" ht="19" thickTop="1" thickBot="1" x14ac:dyDescent="0.45">
      <c r="B5" s="98" t="s">
        <v>51</v>
      </c>
      <c r="C5" s="99"/>
      <c r="D5" s="99"/>
      <c r="E5" s="99"/>
      <c r="F5" s="99"/>
      <c r="G5" s="99"/>
      <c r="H5" s="99"/>
      <c r="I5" s="99"/>
      <c r="J5" s="99"/>
      <c r="K5" s="100"/>
    </row>
    <row r="6" spans="1:11" s="1" customFormat="1" ht="19" thickTop="1" thickBot="1" x14ac:dyDescent="0.45">
      <c r="B6" s="98" t="s">
        <v>39</v>
      </c>
      <c r="C6" s="99"/>
      <c r="D6" s="99"/>
      <c r="E6" s="99"/>
      <c r="F6" s="99"/>
      <c r="G6" s="99"/>
      <c r="H6" s="99"/>
      <c r="I6" s="99"/>
      <c r="J6" s="99"/>
      <c r="K6" s="100"/>
    </row>
    <row r="7" spans="1:11" s="1" customFormat="1" ht="19" thickTop="1" thickBot="1" x14ac:dyDescent="0.45">
      <c r="B7" s="98" t="s">
        <v>48</v>
      </c>
      <c r="C7" s="99"/>
      <c r="D7" s="99"/>
      <c r="E7" s="99"/>
      <c r="F7" s="99"/>
      <c r="G7" s="99"/>
      <c r="H7" s="99"/>
      <c r="I7" s="99"/>
      <c r="J7" s="99"/>
      <c r="K7" s="100"/>
    </row>
    <row r="8" spans="1:11" s="1" customFormat="1" ht="131" thickTop="1" thickBot="1" x14ac:dyDescent="0.4">
      <c r="A8" s="58" t="s">
        <v>73</v>
      </c>
      <c r="B8" s="74">
        <v>1</v>
      </c>
      <c r="C8" s="48" t="s">
        <v>22</v>
      </c>
      <c r="D8" s="41" t="s">
        <v>26</v>
      </c>
      <c r="E8" s="36" t="s">
        <v>27</v>
      </c>
      <c r="F8" s="40" t="s">
        <v>24</v>
      </c>
      <c r="G8" s="40" t="s">
        <v>25</v>
      </c>
      <c r="H8" s="49" t="s">
        <v>28</v>
      </c>
      <c r="I8" s="39" t="s">
        <v>29</v>
      </c>
      <c r="J8" s="40" t="s">
        <v>30</v>
      </c>
      <c r="K8" s="42">
        <v>0</v>
      </c>
    </row>
    <row r="9" spans="1:11" s="1" customFormat="1" ht="18.5" thickBot="1" x14ac:dyDescent="0.4">
      <c r="A9" s="75" t="s">
        <v>74</v>
      </c>
      <c r="B9" s="76"/>
      <c r="C9" s="67"/>
      <c r="D9" s="68"/>
      <c r="E9" s="69"/>
      <c r="F9" s="70"/>
      <c r="G9" s="70"/>
      <c r="H9" s="71"/>
      <c r="I9" s="72"/>
      <c r="J9" s="70"/>
      <c r="K9" s="73"/>
    </row>
    <row r="10" spans="1:11" s="58" customFormat="1" ht="54" customHeight="1" thickBot="1" x14ac:dyDescent="0.4">
      <c r="A10" s="58" t="s">
        <v>75</v>
      </c>
      <c r="B10" s="79"/>
      <c r="C10" s="67"/>
      <c r="D10" s="70"/>
      <c r="E10" s="77"/>
      <c r="F10" s="70"/>
      <c r="G10" s="70"/>
      <c r="H10" s="78"/>
      <c r="I10" s="72"/>
      <c r="J10" s="70"/>
      <c r="K10" s="73"/>
    </row>
    <row r="11" spans="1:11" s="1" customFormat="1" ht="18.5" thickBot="1" x14ac:dyDescent="0.4">
      <c r="B11" s="101" t="s">
        <v>50</v>
      </c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s="1" customFormat="1" ht="109" thickBot="1" x14ac:dyDescent="0.4">
      <c r="A12" s="58" t="s">
        <v>73</v>
      </c>
      <c r="B12" s="46">
        <v>2</v>
      </c>
      <c r="C12" s="47" t="s">
        <v>31</v>
      </c>
      <c r="D12" s="44" t="s">
        <v>32</v>
      </c>
      <c r="E12" s="43" t="s">
        <v>35</v>
      </c>
      <c r="F12" s="43" t="s">
        <v>33</v>
      </c>
      <c r="G12" s="44" t="s">
        <v>34</v>
      </c>
      <c r="H12" s="7" t="s">
        <v>38</v>
      </c>
      <c r="I12" s="43" t="s">
        <v>36</v>
      </c>
      <c r="J12" s="43" t="s">
        <v>37</v>
      </c>
      <c r="K12" s="45">
        <f>J62</f>
        <v>0</v>
      </c>
    </row>
    <row r="13" spans="1:11" s="1" customFormat="1" ht="16" thickBot="1" x14ac:dyDescent="0.4">
      <c r="A13" s="75" t="s">
        <v>74</v>
      </c>
      <c r="B13" s="91" t="s">
        <v>17</v>
      </c>
      <c r="C13" s="92"/>
      <c r="D13" s="92"/>
      <c r="E13" s="92"/>
      <c r="F13" s="92"/>
      <c r="G13" s="92"/>
      <c r="H13" s="92"/>
      <c r="I13" s="92"/>
      <c r="J13" s="92"/>
      <c r="K13" s="12"/>
    </row>
    <row r="14" spans="1:11" s="1" customFormat="1" ht="16" thickBot="1" x14ac:dyDescent="0.4">
      <c r="B14" s="91" t="s">
        <v>49</v>
      </c>
      <c r="C14" s="92"/>
      <c r="D14" s="92"/>
      <c r="E14" s="92"/>
      <c r="F14" s="92"/>
      <c r="G14" s="92"/>
      <c r="H14" s="92"/>
      <c r="I14" s="92"/>
      <c r="J14" s="92"/>
      <c r="K14" s="128"/>
    </row>
    <row r="15" spans="1:11" s="1" customFormat="1" ht="47" thickBot="1" x14ac:dyDescent="0.4">
      <c r="A15" s="58" t="s">
        <v>73</v>
      </c>
      <c r="B15" s="34">
        <v>3</v>
      </c>
      <c r="C15" s="52" t="s">
        <v>40</v>
      </c>
      <c r="D15" s="50" t="s">
        <v>41</v>
      </c>
      <c r="E15" s="52" t="s">
        <v>42</v>
      </c>
      <c r="F15" s="51" t="s">
        <v>43</v>
      </c>
      <c r="G15" s="40" t="s">
        <v>25</v>
      </c>
      <c r="H15" s="52" t="s">
        <v>47</v>
      </c>
      <c r="I15" s="52" t="s">
        <v>44</v>
      </c>
      <c r="J15" s="50" t="s">
        <v>45</v>
      </c>
      <c r="K15" s="35"/>
    </row>
    <row r="16" spans="1:11" s="1" customFormat="1" ht="18" x14ac:dyDescent="0.35">
      <c r="A16" s="75" t="s">
        <v>74</v>
      </c>
      <c r="B16" s="80"/>
      <c r="C16" s="59"/>
      <c r="D16" s="81"/>
      <c r="E16" s="59"/>
      <c r="F16" s="60"/>
      <c r="G16" s="82"/>
      <c r="H16" s="59"/>
      <c r="I16" s="59"/>
      <c r="J16" s="81"/>
      <c r="K16" s="83"/>
    </row>
    <row r="17" spans="1:11" s="1" customFormat="1" ht="18.5" thickBot="1" x14ac:dyDescent="0.4">
      <c r="A17" s="58" t="s">
        <v>75</v>
      </c>
      <c r="B17" s="80"/>
      <c r="C17" s="59"/>
      <c r="D17" s="81"/>
      <c r="E17" s="59"/>
      <c r="F17" s="60"/>
      <c r="G17" s="82"/>
      <c r="H17" s="59"/>
      <c r="I17" s="59"/>
      <c r="J17" s="81"/>
      <c r="K17" s="83"/>
    </row>
    <row r="18" spans="1:11" s="1" customFormat="1" ht="16.5" thickTop="1" thickBot="1" x14ac:dyDescent="0.4">
      <c r="B18" s="129" t="s">
        <v>18</v>
      </c>
      <c r="C18" s="130"/>
      <c r="D18" s="130"/>
      <c r="E18" s="130"/>
      <c r="F18" s="130"/>
      <c r="G18" s="130"/>
      <c r="H18" s="130"/>
      <c r="I18" s="130"/>
      <c r="J18" s="130"/>
      <c r="K18" s="131"/>
    </row>
    <row r="19" spans="1:11" s="1" customFormat="1" ht="16.5" thickTop="1" thickBot="1" x14ac:dyDescent="0.4">
      <c r="B19" s="132" t="s">
        <v>46</v>
      </c>
      <c r="C19" s="133"/>
      <c r="D19" s="133"/>
      <c r="E19" s="133"/>
      <c r="F19" s="133"/>
      <c r="G19" s="133"/>
      <c r="H19" s="133"/>
      <c r="I19" s="133"/>
      <c r="J19" s="133"/>
      <c r="K19" s="134"/>
    </row>
    <row r="20" spans="1:11" s="1" customFormat="1" ht="31.5" thickBot="1" x14ac:dyDescent="0.4">
      <c r="B20" s="4">
        <v>4</v>
      </c>
      <c r="C20" s="54" t="s">
        <v>52</v>
      </c>
      <c r="D20" s="51"/>
      <c r="E20" s="14"/>
      <c r="F20" s="52" t="s">
        <v>53</v>
      </c>
      <c r="G20" s="14"/>
      <c r="H20" s="14"/>
      <c r="I20" s="52" t="s">
        <v>44</v>
      </c>
      <c r="J20" s="14"/>
      <c r="K20" s="53"/>
    </row>
    <row r="21" spans="1:11" s="1" customFormat="1" ht="47" thickBot="1" x14ac:dyDescent="0.4">
      <c r="B21" s="4">
        <v>5</v>
      </c>
      <c r="C21" s="5" t="s">
        <v>54</v>
      </c>
      <c r="D21" s="5"/>
      <c r="E21" s="3" t="s">
        <v>55</v>
      </c>
      <c r="F21" s="3"/>
      <c r="G21" s="5"/>
      <c r="H21" s="6"/>
      <c r="I21" s="51" t="s">
        <v>56</v>
      </c>
      <c r="J21" s="3"/>
      <c r="K21" s="11">
        <f>J67</f>
        <v>0</v>
      </c>
    </row>
    <row r="22" spans="1:11" s="1" customFormat="1" ht="16" thickBot="1" x14ac:dyDescent="0.4">
      <c r="B22" s="135" t="s">
        <v>20</v>
      </c>
      <c r="C22" s="136"/>
      <c r="D22" s="136"/>
      <c r="E22" s="136"/>
      <c r="F22" s="136"/>
      <c r="G22" s="136"/>
      <c r="H22" s="136"/>
      <c r="I22" s="136"/>
      <c r="J22" s="136"/>
      <c r="K22" s="26">
        <f>K21</f>
        <v>0</v>
      </c>
    </row>
    <row r="23" spans="1:11" s="1" customFormat="1" ht="16" thickTop="1" x14ac:dyDescent="0.35"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1" s="1" customFormat="1" ht="15.5" x14ac:dyDescent="0.35">
      <c r="K24" s="8"/>
    </row>
    <row r="25" spans="1:11" s="1" customFormat="1" ht="15.5" x14ac:dyDescent="0.35">
      <c r="K25" s="8"/>
    </row>
    <row r="26" spans="1:11" s="1" customFormat="1" ht="15.5" x14ac:dyDescent="0.35">
      <c r="K26" s="8"/>
    </row>
    <row r="27" spans="1:11" s="1" customFormat="1" ht="15.5" x14ac:dyDescent="0.35">
      <c r="K27" s="8"/>
    </row>
    <row r="28" spans="1:11" s="1" customFormat="1" ht="15.5" x14ac:dyDescent="0.35">
      <c r="K28" s="8"/>
    </row>
    <row r="29" spans="1:11" s="1" customFormat="1" ht="15.5" x14ac:dyDescent="0.35">
      <c r="K29" s="8"/>
    </row>
    <row r="30" spans="1:11" s="1" customFormat="1" ht="15.5" x14ac:dyDescent="0.35">
      <c r="K30" s="8"/>
    </row>
    <row r="31" spans="1:11" s="1" customFormat="1" ht="16" thickBot="1" x14ac:dyDescent="0.4">
      <c r="K31" s="2"/>
    </row>
    <row r="32" spans="1:11" s="1" customFormat="1" ht="19" thickTop="1" thickBot="1" x14ac:dyDescent="0.45">
      <c r="C32" s="137" t="s">
        <v>12</v>
      </c>
      <c r="D32" s="138"/>
      <c r="E32" s="138"/>
      <c r="F32" s="138"/>
      <c r="G32" s="138"/>
      <c r="H32" s="139"/>
      <c r="K32" s="2"/>
    </row>
    <row r="33" spans="2:13" s="1" customFormat="1" ht="16.5" thickTop="1" thickBot="1" x14ac:dyDescent="0.4">
      <c r="K33" s="2"/>
    </row>
    <row r="34" spans="2:13" s="1" customFormat="1" ht="16.5" thickTop="1" thickBot="1" x14ac:dyDescent="0.4">
      <c r="B34" s="24" t="s">
        <v>0</v>
      </c>
      <c r="C34" s="140" t="s">
        <v>7</v>
      </c>
      <c r="D34" s="141"/>
      <c r="E34" s="141"/>
      <c r="F34" s="141"/>
      <c r="G34" s="142"/>
      <c r="H34" s="29" t="s">
        <v>8</v>
      </c>
      <c r="I34" s="29" t="s">
        <v>9</v>
      </c>
      <c r="J34" s="30" t="s">
        <v>10</v>
      </c>
      <c r="K34" s="2"/>
    </row>
    <row r="35" spans="2:13" s="1" customFormat="1" ht="16.5" thickTop="1" thickBot="1" x14ac:dyDescent="0.4">
      <c r="B35" s="143" t="s">
        <v>11</v>
      </c>
      <c r="C35" s="144"/>
      <c r="D35" s="144"/>
      <c r="E35" s="144"/>
      <c r="F35" s="144"/>
      <c r="G35" s="144"/>
      <c r="H35" s="144"/>
      <c r="I35" s="144"/>
      <c r="J35" s="145"/>
      <c r="K35" s="2"/>
    </row>
    <row r="36" spans="2:13" s="1" customFormat="1" ht="16.5" thickTop="1" thickBot="1" x14ac:dyDescent="0.4">
      <c r="B36" s="16"/>
      <c r="C36" s="118"/>
      <c r="D36" s="118"/>
      <c r="E36" s="118"/>
      <c r="F36" s="118"/>
      <c r="G36" s="118"/>
      <c r="H36" s="17"/>
      <c r="I36" s="18"/>
      <c r="J36" s="9"/>
      <c r="K36" s="2"/>
      <c r="L36" s="8"/>
      <c r="M36" s="8"/>
    </row>
    <row r="37" spans="2:13" s="1" customFormat="1" ht="16" thickBot="1" x14ac:dyDescent="0.4">
      <c r="B37" s="13"/>
      <c r="C37" s="111"/>
      <c r="D37" s="111"/>
      <c r="E37" s="111"/>
      <c r="F37" s="111"/>
      <c r="G37" s="111"/>
      <c r="H37" s="14"/>
      <c r="I37" s="15"/>
      <c r="J37" s="10"/>
      <c r="K37" s="2"/>
    </row>
    <row r="38" spans="2:13" s="1" customFormat="1" ht="16" thickBot="1" x14ac:dyDescent="0.4">
      <c r="B38" s="13"/>
      <c r="C38" s="111"/>
      <c r="D38" s="111"/>
      <c r="E38" s="111"/>
      <c r="F38" s="111"/>
      <c r="G38" s="111"/>
      <c r="H38" s="14"/>
      <c r="I38" s="15"/>
      <c r="J38" s="10"/>
      <c r="K38" s="2"/>
    </row>
    <row r="39" spans="2:13" s="1" customFormat="1" ht="16" thickBot="1" x14ac:dyDescent="0.4">
      <c r="B39" s="13"/>
      <c r="C39" s="111"/>
      <c r="D39" s="111"/>
      <c r="E39" s="111"/>
      <c r="F39" s="111"/>
      <c r="G39" s="111"/>
      <c r="H39" s="14"/>
      <c r="I39" s="15"/>
      <c r="J39" s="10"/>
      <c r="K39" s="2"/>
    </row>
    <row r="40" spans="2:13" s="1" customFormat="1" ht="16" thickBot="1" x14ac:dyDescent="0.4">
      <c r="B40" s="19"/>
      <c r="C40" s="119"/>
      <c r="D40" s="119"/>
      <c r="E40" s="119"/>
      <c r="F40" s="119"/>
      <c r="G40" s="119"/>
      <c r="H40" s="20"/>
      <c r="I40" s="21"/>
      <c r="J40" s="22"/>
      <c r="K40" s="2"/>
    </row>
    <row r="41" spans="2:13" s="1" customFormat="1" ht="16" thickBot="1" x14ac:dyDescent="0.4">
      <c r="B41" s="33"/>
      <c r="C41" s="120"/>
      <c r="D41" s="121"/>
      <c r="E41" s="121"/>
      <c r="F41" s="121"/>
      <c r="G41" s="122"/>
      <c r="H41" s="14"/>
      <c r="I41" s="15"/>
      <c r="J41" s="15"/>
      <c r="K41" s="2"/>
    </row>
    <row r="42" spans="2:13" s="1" customFormat="1" ht="16" thickBot="1" x14ac:dyDescent="0.4">
      <c r="B42" s="123"/>
      <c r="C42" s="124"/>
      <c r="D42" s="124"/>
      <c r="E42" s="124"/>
      <c r="F42" s="124"/>
      <c r="G42" s="124"/>
      <c r="H42" s="124"/>
      <c r="I42" s="124"/>
      <c r="J42" s="32"/>
      <c r="K42" s="2"/>
    </row>
    <row r="43" spans="2:13" s="1" customFormat="1" ht="16.5" thickTop="1" thickBot="1" x14ac:dyDescent="0.4">
      <c r="B43" s="16"/>
      <c r="C43" s="118"/>
      <c r="D43" s="118"/>
      <c r="E43" s="118"/>
      <c r="F43" s="118"/>
      <c r="G43" s="118"/>
      <c r="H43" s="17"/>
      <c r="I43" s="18"/>
      <c r="J43" s="9"/>
      <c r="K43" s="2"/>
    </row>
    <row r="44" spans="2:13" s="1" customFormat="1" ht="16" thickBot="1" x14ac:dyDescent="0.4">
      <c r="B44" s="13"/>
      <c r="C44" s="111"/>
      <c r="D44" s="111"/>
      <c r="E44" s="111"/>
      <c r="F44" s="111"/>
      <c r="G44" s="111"/>
      <c r="H44" s="14"/>
      <c r="I44" s="15"/>
      <c r="J44" s="10"/>
      <c r="K44" s="2"/>
    </row>
    <row r="45" spans="2:13" s="1" customFormat="1" ht="16" thickBot="1" x14ac:dyDescent="0.4">
      <c r="B45" s="13"/>
      <c r="C45" s="111"/>
      <c r="D45" s="111"/>
      <c r="E45" s="111"/>
      <c r="F45" s="111"/>
      <c r="G45" s="111"/>
      <c r="H45" s="14"/>
      <c r="I45" s="15"/>
      <c r="J45" s="10"/>
      <c r="K45" s="2"/>
    </row>
    <row r="46" spans="2:13" s="1" customFormat="1" ht="16" thickBot="1" x14ac:dyDescent="0.4">
      <c r="B46" s="13"/>
      <c r="C46" s="111"/>
      <c r="D46" s="111"/>
      <c r="E46" s="111"/>
      <c r="F46" s="111"/>
      <c r="G46" s="111"/>
      <c r="H46" s="14"/>
      <c r="I46" s="15"/>
      <c r="J46" s="10"/>
      <c r="K46" s="2"/>
    </row>
    <row r="47" spans="2:13" s="1" customFormat="1" ht="16" thickBot="1" x14ac:dyDescent="0.4">
      <c r="B47" s="13"/>
      <c r="C47" s="111"/>
      <c r="D47" s="111"/>
      <c r="E47" s="111"/>
      <c r="F47" s="111"/>
      <c r="G47" s="111"/>
      <c r="H47" s="14"/>
      <c r="I47" s="15"/>
      <c r="J47" s="10"/>
      <c r="K47" s="2"/>
    </row>
    <row r="48" spans="2:13" s="1" customFormat="1" ht="16" thickBot="1" x14ac:dyDescent="0.4">
      <c r="B48" s="19"/>
      <c r="C48" s="119"/>
      <c r="D48" s="119"/>
      <c r="E48" s="119"/>
      <c r="F48" s="119"/>
      <c r="G48" s="119"/>
      <c r="H48" s="20"/>
      <c r="I48" s="21"/>
      <c r="J48" s="22"/>
      <c r="K48" s="2"/>
    </row>
    <row r="49" spans="2:11" s="1" customFormat="1" ht="16.5" thickTop="1" thickBot="1" x14ac:dyDescent="0.4">
      <c r="B49" s="112"/>
      <c r="C49" s="112"/>
      <c r="D49" s="112"/>
      <c r="E49" s="112"/>
      <c r="F49" s="112"/>
      <c r="G49" s="112"/>
      <c r="H49" s="112"/>
      <c r="I49" s="112"/>
      <c r="J49" s="31"/>
      <c r="K49" s="2"/>
    </row>
    <row r="50" spans="2:11" s="1" customFormat="1" ht="16.5" thickTop="1" thickBot="1" x14ac:dyDescent="0.4">
      <c r="B50" s="113"/>
      <c r="C50" s="114"/>
      <c r="D50" s="114"/>
      <c r="E50" s="114"/>
      <c r="F50" s="114"/>
      <c r="G50" s="114"/>
      <c r="H50" s="114"/>
      <c r="I50" s="114"/>
      <c r="J50" s="23"/>
      <c r="K50" s="2"/>
    </row>
    <row r="51" spans="2:11" s="1" customFormat="1" ht="16.5" thickTop="1" thickBot="1" x14ac:dyDescent="0.4">
      <c r="B51" s="115"/>
      <c r="C51" s="116"/>
      <c r="D51" s="116"/>
      <c r="E51" s="116"/>
      <c r="F51" s="116"/>
      <c r="G51" s="116"/>
      <c r="H51" s="116"/>
      <c r="I51" s="116"/>
      <c r="J51" s="117"/>
      <c r="K51" s="2"/>
    </row>
    <row r="52" spans="2:11" s="1" customFormat="1" ht="16.5" thickTop="1" thickBot="1" x14ac:dyDescent="0.4">
      <c r="B52" s="16"/>
      <c r="C52" s="118"/>
      <c r="D52" s="118"/>
      <c r="E52" s="118"/>
      <c r="F52" s="118"/>
      <c r="G52" s="118"/>
      <c r="H52" s="17"/>
      <c r="I52" s="18"/>
      <c r="J52" s="9"/>
      <c r="K52" s="2"/>
    </row>
    <row r="53" spans="2:11" s="1" customFormat="1" ht="16" thickBot="1" x14ac:dyDescent="0.4">
      <c r="B53" s="13"/>
      <c r="C53" s="111"/>
      <c r="D53" s="111"/>
      <c r="E53" s="111"/>
      <c r="F53" s="111"/>
      <c r="G53" s="111"/>
      <c r="H53" s="14"/>
      <c r="I53" s="15"/>
      <c r="J53" s="10"/>
      <c r="K53" s="2"/>
    </row>
    <row r="54" spans="2:11" s="1" customFormat="1" ht="16" thickBot="1" x14ac:dyDescent="0.4">
      <c r="B54" s="13"/>
      <c r="C54" s="111"/>
      <c r="D54" s="111"/>
      <c r="E54" s="111"/>
      <c r="F54" s="111"/>
      <c r="G54" s="111"/>
      <c r="H54" s="14"/>
      <c r="I54" s="15"/>
      <c r="J54" s="10"/>
      <c r="K54" s="2"/>
    </row>
    <row r="55" spans="2:11" s="1" customFormat="1" ht="16" thickBot="1" x14ac:dyDescent="0.4">
      <c r="B55" s="13"/>
      <c r="C55" s="111"/>
      <c r="D55" s="111"/>
      <c r="E55" s="111"/>
      <c r="F55" s="111"/>
      <c r="G55" s="111"/>
      <c r="H55" s="14"/>
      <c r="I55" s="15"/>
      <c r="J55" s="10"/>
      <c r="K55" s="2"/>
    </row>
    <row r="56" spans="2:11" s="1" customFormat="1" ht="16" thickBot="1" x14ac:dyDescent="0.4">
      <c r="B56" s="13"/>
      <c r="C56" s="111"/>
      <c r="D56" s="111"/>
      <c r="E56" s="111"/>
      <c r="F56" s="111"/>
      <c r="G56" s="111"/>
      <c r="H56" s="14"/>
      <c r="I56" s="15"/>
      <c r="J56" s="10"/>
      <c r="K56" s="2"/>
    </row>
    <row r="57" spans="2:11" s="1" customFormat="1" ht="16" thickBot="1" x14ac:dyDescent="0.4">
      <c r="B57" s="13"/>
      <c r="C57" s="111"/>
      <c r="D57" s="111"/>
      <c r="E57" s="111"/>
      <c r="F57" s="111"/>
      <c r="G57" s="111"/>
      <c r="H57" s="14"/>
      <c r="I57" s="15"/>
      <c r="J57" s="10"/>
      <c r="K57" s="2"/>
    </row>
    <row r="58" spans="2:11" s="1" customFormat="1" ht="16" thickBot="1" x14ac:dyDescent="0.4">
      <c r="B58" s="13"/>
      <c r="C58" s="111"/>
      <c r="D58" s="111"/>
      <c r="E58" s="111"/>
      <c r="F58" s="111"/>
      <c r="G58" s="111"/>
      <c r="H58" s="14"/>
      <c r="I58" s="15"/>
      <c r="J58" s="10"/>
      <c r="K58" s="2"/>
    </row>
    <row r="59" spans="2:11" s="1" customFormat="1" ht="16" thickBot="1" x14ac:dyDescent="0.4">
      <c r="B59" s="13"/>
      <c r="C59" s="111"/>
      <c r="D59" s="111"/>
      <c r="E59" s="111"/>
      <c r="F59" s="111"/>
      <c r="G59" s="111"/>
      <c r="H59" s="14"/>
      <c r="I59" s="15"/>
      <c r="J59" s="10"/>
      <c r="K59" s="2"/>
    </row>
    <row r="60" spans="2:11" s="1" customFormat="1" ht="16" thickBot="1" x14ac:dyDescent="0.4">
      <c r="B60" s="13"/>
      <c r="C60" s="111"/>
      <c r="D60" s="111"/>
      <c r="E60" s="111"/>
      <c r="F60" s="111"/>
      <c r="G60" s="111"/>
      <c r="H60" s="14"/>
      <c r="I60" s="15"/>
      <c r="J60" s="10"/>
      <c r="K60" s="2"/>
    </row>
    <row r="61" spans="2:11" s="1" customFormat="1" ht="16" thickBot="1" x14ac:dyDescent="0.4">
      <c r="B61" s="13"/>
      <c r="C61" s="104"/>
      <c r="D61" s="104"/>
      <c r="E61" s="104"/>
      <c r="F61" s="104"/>
      <c r="G61" s="104"/>
      <c r="H61" s="14"/>
      <c r="I61" s="15"/>
      <c r="J61" s="10"/>
      <c r="K61" s="2"/>
    </row>
    <row r="62" spans="2:11" s="1" customFormat="1" ht="16" thickBot="1" x14ac:dyDescent="0.4">
      <c r="B62" s="105"/>
      <c r="C62" s="106"/>
      <c r="D62" s="106"/>
      <c r="E62" s="106"/>
      <c r="F62" s="106"/>
      <c r="G62" s="106"/>
      <c r="H62" s="106"/>
      <c r="I62" s="107"/>
      <c r="J62" s="12"/>
      <c r="K62" s="2"/>
    </row>
    <row r="63" spans="2:11" s="1" customFormat="1" ht="16" thickBot="1" x14ac:dyDescent="0.4">
      <c r="B63" s="108"/>
      <c r="C63" s="109"/>
      <c r="D63" s="109"/>
      <c r="E63" s="109"/>
      <c r="F63" s="109"/>
      <c r="G63" s="109"/>
      <c r="H63" s="109"/>
      <c r="I63" s="109"/>
      <c r="J63" s="110"/>
      <c r="K63" s="2"/>
    </row>
    <row r="64" spans="2:11" s="1" customFormat="1" ht="16" thickBot="1" x14ac:dyDescent="0.4">
      <c r="B64" s="13"/>
      <c r="C64" s="111"/>
      <c r="D64" s="111"/>
      <c r="E64" s="111"/>
      <c r="F64" s="111"/>
      <c r="G64" s="111"/>
      <c r="H64" s="14"/>
      <c r="I64" s="15"/>
      <c r="J64" s="10"/>
      <c r="K64" s="2"/>
    </row>
    <row r="65" spans="2:11" s="1" customFormat="1" ht="16" thickBot="1" x14ac:dyDescent="0.4">
      <c r="B65" s="13"/>
      <c r="C65" s="111"/>
      <c r="D65" s="111"/>
      <c r="E65" s="111"/>
      <c r="F65" s="111"/>
      <c r="G65" s="111"/>
      <c r="H65" s="14"/>
      <c r="I65" s="15"/>
      <c r="J65" s="10"/>
      <c r="K65" s="2"/>
    </row>
    <row r="66" spans="2:11" s="1" customFormat="1" ht="16" thickBot="1" x14ac:dyDescent="0.4">
      <c r="B66" s="13"/>
      <c r="C66" s="111"/>
      <c r="D66" s="111"/>
      <c r="E66" s="111"/>
      <c r="F66" s="111"/>
      <c r="G66" s="111"/>
      <c r="H66" s="14"/>
      <c r="I66" s="15"/>
      <c r="J66" s="10"/>
      <c r="K66" s="2"/>
    </row>
    <row r="67" spans="2:11" s="1" customFormat="1" ht="16" thickBot="1" x14ac:dyDescent="0.4">
      <c r="B67" s="91"/>
      <c r="C67" s="92"/>
      <c r="D67" s="92"/>
      <c r="E67" s="92"/>
      <c r="F67" s="92"/>
      <c r="G67" s="92"/>
      <c r="H67" s="92"/>
      <c r="I67" s="92"/>
      <c r="J67" s="12"/>
      <c r="K67" s="2"/>
    </row>
    <row r="68" spans="2:11" s="1" customFormat="1" ht="16" thickBot="1" x14ac:dyDescent="0.4">
      <c r="B68" s="93"/>
      <c r="C68" s="94"/>
      <c r="D68" s="94"/>
      <c r="E68" s="94"/>
      <c r="F68" s="94"/>
      <c r="G68" s="94"/>
      <c r="H68" s="94"/>
      <c r="I68" s="94"/>
      <c r="J68" s="95"/>
      <c r="K68" s="2"/>
    </row>
    <row r="69" spans="2:11" s="1" customFormat="1" ht="16" thickBot="1" x14ac:dyDescent="0.4">
      <c r="B69" s="96"/>
      <c r="C69" s="97"/>
      <c r="D69" s="97"/>
      <c r="E69" s="97"/>
      <c r="F69" s="97"/>
      <c r="G69" s="97"/>
      <c r="H69" s="97"/>
      <c r="I69" s="97"/>
      <c r="J69" s="25"/>
      <c r="K69" s="2"/>
    </row>
    <row r="70" spans="2:11" ht="15" thickTop="1" x14ac:dyDescent="0.35"/>
  </sheetData>
  <mergeCells count="47">
    <mergeCell ref="C36:G36"/>
    <mergeCell ref="D2:I2"/>
    <mergeCell ref="B5:K5"/>
    <mergeCell ref="B6:K6"/>
    <mergeCell ref="B13:J13"/>
    <mergeCell ref="B14:K14"/>
    <mergeCell ref="B18:K18"/>
    <mergeCell ref="B19:K19"/>
    <mergeCell ref="B22:J22"/>
    <mergeCell ref="C32:H32"/>
    <mergeCell ref="C34:G34"/>
    <mergeCell ref="B35:J35"/>
    <mergeCell ref="C48:G48"/>
    <mergeCell ref="C37:G37"/>
    <mergeCell ref="C38:G38"/>
    <mergeCell ref="C39:G39"/>
    <mergeCell ref="C40:G40"/>
    <mergeCell ref="C41:G41"/>
    <mergeCell ref="B42:I42"/>
    <mergeCell ref="C43:G43"/>
    <mergeCell ref="C44:G44"/>
    <mergeCell ref="C45:G45"/>
    <mergeCell ref="C46:G46"/>
    <mergeCell ref="C47:G47"/>
    <mergeCell ref="C60:G60"/>
    <mergeCell ref="B49:I49"/>
    <mergeCell ref="B50:I50"/>
    <mergeCell ref="B51:J51"/>
    <mergeCell ref="C52:G52"/>
    <mergeCell ref="C53:G53"/>
    <mergeCell ref="C54:G54"/>
    <mergeCell ref="B67:I67"/>
    <mergeCell ref="B68:J68"/>
    <mergeCell ref="B69:I69"/>
    <mergeCell ref="B7:K7"/>
    <mergeCell ref="B11:K11"/>
    <mergeCell ref="C61:G61"/>
    <mergeCell ref="B62:I62"/>
    <mergeCell ref="B63:J63"/>
    <mergeCell ref="C64:G64"/>
    <mergeCell ref="C65:G65"/>
    <mergeCell ref="C66:G66"/>
    <mergeCell ref="C55:G55"/>
    <mergeCell ref="C56:G56"/>
    <mergeCell ref="C57:G57"/>
    <mergeCell ref="C58:G58"/>
    <mergeCell ref="C59:G59"/>
  </mergeCells>
  <pageMargins left="0.7" right="0.7" top="0.75" bottom="0.75" header="0.3" footer="0.3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77"/>
  <sheetViews>
    <sheetView tabSelected="1" view="pageBreakPreview" topLeftCell="B2" zoomScale="64" zoomScaleNormal="66" workbookViewId="0">
      <pane ySplit="3" topLeftCell="A5" activePane="bottomLeft" state="frozen"/>
      <selection activeCell="A2" sqref="A2"/>
      <selection pane="bottomLeft" activeCell="M50" sqref="M50"/>
    </sheetView>
  </sheetViews>
  <sheetFormatPr baseColWidth="10" defaultColWidth="11.54296875" defaultRowHeight="15.5" x14ac:dyDescent="0.35"/>
  <cols>
    <col min="1" max="1" width="3.81640625" style="1" customWidth="1"/>
    <col min="2" max="2" width="20.6328125" style="1" bestFit="1" customWidth="1"/>
    <col min="3" max="3" width="26.6328125" style="1" customWidth="1"/>
    <col min="4" max="4" width="32.453125" style="1" customWidth="1"/>
    <col min="5" max="5" width="29.36328125" style="1" customWidth="1"/>
    <col min="6" max="6" width="26.08984375" style="1" customWidth="1"/>
    <col min="7" max="7" width="20.81640625" style="1" bestFit="1" customWidth="1"/>
    <col min="8" max="8" width="26.54296875" style="1" customWidth="1"/>
    <col min="9" max="9" width="20.1796875" style="2" bestFit="1" customWidth="1"/>
    <col min="10" max="10" width="20.90625" style="1" customWidth="1"/>
    <col min="11" max="11" width="13.90625" style="1" bestFit="1" customWidth="1"/>
    <col min="12" max="16384" width="11.54296875" style="1"/>
  </cols>
  <sheetData>
    <row r="2" spans="1:10" x14ac:dyDescent="0.35">
      <c r="C2" s="162" t="s">
        <v>14</v>
      </c>
      <c r="D2" s="162"/>
      <c r="E2" s="162"/>
      <c r="F2" s="162"/>
      <c r="G2" s="162"/>
    </row>
    <row r="5" spans="1:10" s="58" customFormat="1" ht="22.25" customHeight="1" x14ac:dyDescent="0.35">
      <c r="A5" s="164" t="s">
        <v>86</v>
      </c>
      <c r="B5" s="164"/>
      <c r="C5" s="164"/>
      <c r="D5" s="164"/>
      <c r="E5" s="164"/>
      <c r="F5" s="164"/>
      <c r="G5" s="164"/>
      <c r="H5" s="164"/>
      <c r="I5" s="164"/>
    </row>
    <row r="6" spans="1:10" s="58" customFormat="1" ht="31.75" customHeight="1" x14ac:dyDescent="0.35">
      <c r="A6" s="56"/>
      <c r="C6" s="56" t="s">
        <v>77</v>
      </c>
      <c r="D6" s="56" t="s">
        <v>78</v>
      </c>
      <c r="E6" s="56" t="s">
        <v>79</v>
      </c>
      <c r="F6" s="56" t="s">
        <v>80</v>
      </c>
      <c r="G6" s="56" t="s">
        <v>91</v>
      </c>
      <c r="H6" s="56" t="s">
        <v>92</v>
      </c>
      <c r="I6" s="56" t="s">
        <v>93</v>
      </c>
    </row>
    <row r="7" spans="1:10" s="58" customFormat="1" ht="35.4" customHeight="1" x14ac:dyDescent="0.35">
      <c r="A7" s="56"/>
      <c r="B7" s="57" t="s">
        <v>76</v>
      </c>
      <c r="C7" s="56" t="s">
        <v>81</v>
      </c>
      <c r="D7" s="56" t="s">
        <v>81</v>
      </c>
      <c r="E7" s="56" t="s">
        <v>82</v>
      </c>
      <c r="F7" s="56" t="s">
        <v>82</v>
      </c>
      <c r="G7" s="165"/>
      <c r="H7" s="166"/>
      <c r="I7" s="167"/>
    </row>
    <row r="8" spans="1:10" s="58" customFormat="1" ht="35.4" customHeight="1" x14ac:dyDescent="0.35">
      <c r="A8" s="56"/>
      <c r="B8" s="57" t="s">
        <v>83</v>
      </c>
      <c r="C8" s="56" t="s">
        <v>84</v>
      </c>
      <c r="D8" s="56" t="s">
        <v>85</v>
      </c>
      <c r="E8" s="56">
        <v>5</v>
      </c>
      <c r="F8" s="56">
        <v>5</v>
      </c>
      <c r="G8" s="165"/>
      <c r="H8" s="166"/>
      <c r="I8" s="167"/>
    </row>
    <row r="9" spans="1:10" s="58" customFormat="1" ht="35.4" customHeight="1" x14ac:dyDescent="0.35">
      <c r="A9" s="56"/>
      <c r="B9" s="57" t="s">
        <v>87</v>
      </c>
      <c r="C9" s="56">
        <v>10</v>
      </c>
      <c r="D9" s="56">
        <v>10</v>
      </c>
      <c r="E9" s="56">
        <v>2</v>
      </c>
      <c r="F9" s="56">
        <v>2</v>
      </c>
      <c r="G9" s="56">
        <f>C9+D9+E9+F9</f>
        <v>24</v>
      </c>
      <c r="H9" s="56">
        <v>13</v>
      </c>
      <c r="I9" s="56">
        <f>G9+H9</f>
        <v>37</v>
      </c>
    </row>
    <row r="10" spans="1:10" s="58" customFormat="1" ht="35.4" customHeight="1" x14ac:dyDescent="0.35">
      <c r="A10" s="56"/>
      <c r="B10" s="57" t="s">
        <v>88</v>
      </c>
      <c r="C10" s="56">
        <v>5</v>
      </c>
      <c r="D10" s="56">
        <v>10</v>
      </c>
      <c r="E10" s="56">
        <v>5</v>
      </c>
      <c r="F10" s="56">
        <v>5</v>
      </c>
      <c r="G10" s="56">
        <f>C10+D10+E10+F10</f>
        <v>25</v>
      </c>
      <c r="H10" s="56">
        <v>2</v>
      </c>
      <c r="I10" s="56">
        <f>G10+H10</f>
        <v>27</v>
      </c>
    </row>
    <row r="11" spans="1:10" s="58" customFormat="1" ht="35.4" customHeight="1" x14ac:dyDescent="0.35">
      <c r="A11" s="56"/>
      <c r="B11" s="57" t="s">
        <v>89</v>
      </c>
      <c r="C11" s="56">
        <v>10</v>
      </c>
      <c r="D11" s="56">
        <v>5</v>
      </c>
      <c r="E11" s="56">
        <v>2</v>
      </c>
      <c r="F11" s="56">
        <v>3</v>
      </c>
      <c r="G11" s="56">
        <f>C11+D11+E11+F11</f>
        <v>20</v>
      </c>
      <c r="H11" s="56">
        <v>3</v>
      </c>
      <c r="I11" s="56">
        <f>G11+H11</f>
        <v>23</v>
      </c>
    </row>
    <row r="12" spans="1:10" s="58" customFormat="1" ht="35.4" customHeight="1" x14ac:dyDescent="0.35">
      <c r="A12" s="56"/>
      <c r="B12" s="57" t="s">
        <v>94</v>
      </c>
      <c r="C12" s="56">
        <v>5</v>
      </c>
      <c r="D12" s="56">
        <v>5</v>
      </c>
      <c r="E12" s="56">
        <v>1</v>
      </c>
      <c r="F12" s="56">
        <v>1</v>
      </c>
      <c r="G12" s="56">
        <f>C12+D12+E11+F11</f>
        <v>15</v>
      </c>
      <c r="H12" s="56">
        <v>4</v>
      </c>
      <c r="I12" s="56">
        <f>G12+H12</f>
        <v>19</v>
      </c>
    </row>
    <row r="13" spans="1:10" s="58" customFormat="1" ht="35.4" customHeight="1" x14ac:dyDescent="0.35">
      <c r="A13" s="56"/>
      <c r="B13" s="57" t="s">
        <v>90</v>
      </c>
      <c r="C13" s="56">
        <v>10</v>
      </c>
      <c r="D13" s="56">
        <v>15</v>
      </c>
      <c r="E13" s="56">
        <v>3</v>
      </c>
      <c r="F13" s="56">
        <v>3</v>
      </c>
      <c r="G13" s="56">
        <f>C13+D13+E13+F13</f>
        <v>31</v>
      </c>
      <c r="H13" s="56">
        <v>11</v>
      </c>
      <c r="I13" s="56">
        <f>G13+H13</f>
        <v>42</v>
      </c>
    </row>
    <row r="14" spans="1:10" s="58" customFormat="1" ht="22.25" customHeight="1" x14ac:dyDescent="0.35">
      <c r="A14" s="56"/>
      <c r="B14" s="56" t="s">
        <v>95</v>
      </c>
      <c r="C14" s="84">
        <f>+C10+C11+C12+C13</f>
        <v>30</v>
      </c>
      <c r="D14" s="84">
        <f>D10+D11+D12+D13</f>
        <v>35</v>
      </c>
      <c r="E14" s="84">
        <v>11</v>
      </c>
      <c r="F14" s="84">
        <v>12</v>
      </c>
      <c r="G14" s="56">
        <f>SUM(G10:G13)</f>
        <v>91</v>
      </c>
      <c r="H14" s="56"/>
      <c r="I14" s="85">
        <f>SUM(I10:I13)</f>
        <v>111</v>
      </c>
    </row>
    <row r="15" spans="1:10" s="58" customFormat="1" ht="22.25" customHeight="1" x14ac:dyDescent="0.35">
      <c r="A15" s="56"/>
      <c r="B15" s="56"/>
      <c r="C15" s="84"/>
      <c r="D15" s="84"/>
      <c r="E15" s="84"/>
      <c r="F15" s="84"/>
      <c r="G15" s="56"/>
      <c r="H15" s="56"/>
      <c r="I15" s="84"/>
    </row>
    <row r="16" spans="1:10" ht="20.399999999999999" customHeight="1" x14ac:dyDescent="0.35">
      <c r="A16" s="164" t="s">
        <v>15</v>
      </c>
      <c r="B16" s="164"/>
      <c r="C16" s="164"/>
      <c r="D16" s="164"/>
      <c r="E16" s="164"/>
      <c r="F16" s="164"/>
      <c r="G16" s="164"/>
      <c r="H16" s="164"/>
      <c r="I16" s="164"/>
      <c r="J16" s="58"/>
    </row>
    <row r="17" spans="1:17" ht="20.399999999999999" customHeight="1" x14ac:dyDescent="0.35">
      <c r="A17" s="56"/>
      <c r="B17" s="90"/>
      <c r="C17" s="90" t="s">
        <v>96</v>
      </c>
      <c r="D17" s="90" t="s">
        <v>98</v>
      </c>
      <c r="E17" s="90" t="s">
        <v>102</v>
      </c>
      <c r="F17" s="90" t="s">
        <v>4</v>
      </c>
      <c r="G17" s="90" t="s">
        <v>100</v>
      </c>
      <c r="H17" s="90" t="s">
        <v>23</v>
      </c>
      <c r="I17" s="90" t="s">
        <v>101</v>
      </c>
      <c r="J17" s="58"/>
    </row>
    <row r="18" spans="1:17" ht="32.4" customHeight="1" x14ac:dyDescent="0.35">
      <c r="A18" s="56"/>
      <c r="B18" s="168" t="s">
        <v>139</v>
      </c>
      <c r="C18" s="168" t="s">
        <v>97</v>
      </c>
      <c r="D18" s="168" t="s">
        <v>99</v>
      </c>
      <c r="E18" s="57" t="s">
        <v>103</v>
      </c>
      <c r="F18" s="56" t="s">
        <v>56</v>
      </c>
      <c r="G18" s="56" t="s">
        <v>104</v>
      </c>
      <c r="H18" s="56" t="s">
        <v>105</v>
      </c>
      <c r="I18" s="168" t="s">
        <v>106</v>
      </c>
      <c r="J18" s="58"/>
    </row>
    <row r="19" spans="1:17" ht="20.399999999999999" customHeight="1" x14ac:dyDescent="0.35">
      <c r="A19" s="56"/>
      <c r="B19" s="169"/>
      <c r="C19" s="169"/>
      <c r="D19" s="169"/>
      <c r="E19" s="56" t="s">
        <v>107</v>
      </c>
      <c r="F19" s="56" t="s">
        <v>111</v>
      </c>
      <c r="G19" s="56" t="s">
        <v>112</v>
      </c>
      <c r="H19" s="56"/>
      <c r="I19" s="169"/>
    </row>
    <row r="20" spans="1:17" ht="20.399999999999999" customHeight="1" x14ac:dyDescent="0.35">
      <c r="A20" s="56"/>
      <c r="B20" s="169"/>
      <c r="C20" s="169"/>
      <c r="D20" s="169"/>
      <c r="E20" s="56" t="s">
        <v>108</v>
      </c>
      <c r="F20" s="56" t="s">
        <v>110</v>
      </c>
      <c r="G20" s="56" t="s">
        <v>112</v>
      </c>
      <c r="H20" s="56"/>
      <c r="I20" s="169"/>
    </row>
    <row r="21" spans="1:17" ht="20.399999999999999" customHeight="1" x14ac:dyDescent="0.35">
      <c r="A21" s="56"/>
      <c r="B21" s="170"/>
      <c r="C21" s="169"/>
      <c r="D21" s="169"/>
      <c r="E21" s="56" t="s">
        <v>109</v>
      </c>
      <c r="F21" s="56" t="s">
        <v>110</v>
      </c>
      <c r="G21" s="56" t="s">
        <v>112</v>
      </c>
      <c r="H21" s="56"/>
      <c r="I21" s="169"/>
    </row>
    <row r="22" spans="1:17" ht="20.399999999999999" customHeight="1" x14ac:dyDescent="0.35">
      <c r="A22" s="56"/>
      <c r="B22" s="154" t="s">
        <v>113</v>
      </c>
      <c r="C22" s="56" t="s">
        <v>114</v>
      </c>
      <c r="D22" s="56">
        <f>20*3</f>
        <v>60</v>
      </c>
      <c r="E22" s="56"/>
      <c r="F22" s="56"/>
      <c r="G22" s="56"/>
      <c r="H22" s="56"/>
      <c r="I22" s="157">
        <v>24000</v>
      </c>
    </row>
    <row r="23" spans="1:17" ht="20.399999999999999" customHeight="1" x14ac:dyDescent="0.35">
      <c r="A23" s="56"/>
      <c r="B23" s="155"/>
      <c r="C23" s="56" t="s">
        <v>57</v>
      </c>
      <c r="D23" s="56">
        <f>250*3</f>
        <v>750</v>
      </c>
      <c r="E23" s="56"/>
      <c r="F23" s="56"/>
      <c r="G23" s="56"/>
      <c r="H23" s="56"/>
      <c r="I23" s="158"/>
    </row>
    <row r="24" spans="1:17" ht="20.399999999999999" customHeight="1" x14ac:dyDescent="0.35">
      <c r="A24" s="56"/>
      <c r="B24" s="155"/>
      <c r="C24" s="56" t="s">
        <v>115</v>
      </c>
      <c r="D24" s="56">
        <v>10</v>
      </c>
      <c r="E24" s="56"/>
      <c r="F24" s="56"/>
      <c r="G24" s="56"/>
      <c r="H24" s="56"/>
      <c r="I24" s="158"/>
    </row>
    <row r="25" spans="1:17" ht="29" customHeight="1" x14ac:dyDescent="0.35">
      <c r="A25" s="56"/>
      <c r="B25" s="155"/>
      <c r="C25" s="56" t="s">
        <v>117</v>
      </c>
      <c r="D25" s="56" t="s">
        <v>119</v>
      </c>
      <c r="E25" s="56"/>
      <c r="F25" s="56"/>
      <c r="G25" s="56"/>
      <c r="H25" s="56"/>
      <c r="I25" s="158"/>
    </row>
    <row r="26" spans="1:17" ht="20.399999999999999" customHeight="1" x14ac:dyDescent="0.35">
      <c r="A26" s="56"/>
      <c r="B26" s="155"/>
      <c r="C26" s="56" t="s">
        <v>116</v>
      </c>
      <c r="D26" s="56">
        <v>3</v>
      </c>
      <c r="E26" s="56"/>
      <c r="F26" s="56"/>
      <c r="G26" s="56"/>
      <c r="H26" s="56"/>
      <c r="I26" s="158"/>
    </row>
    <row r="27" spans="1:17" ht="33" customHeight="1" x14ac:dyDescent="0.35">
      <c r="A27" s="56"/>
      <c r="B27" s="156"/>
      <c r="C27" s="57" t="s">
        <v>118</v>
      </c>
      <c r="D27" s="56">
        <f>35*3</f>
        <v>105</v>
      </c>
      <c r="E27" s="56"/>
      <c r="F27" s="56"/>
      <c r="G27" s="56"/>
      <c r="H27" s="56"/>
      <c r="I27" s="159"/>
      <c r="J27" s="58"/>
      <c r="K27" s="58"/>
      <c r="L27" s="58"/>
      <c r="M27" s="58"/>
      <c r="N27" s="58"/>
      <c r="O27" s="58"/>
      <c r="P27" s="58"/>
      <c r="Q27" s="58"/>
    </row>
    <row r="28" spans="1:17" ht="32.4" customHeight="1" x14ac:dyDescent="0.35">
      <c r="A28" s="56"/>
      <c r="B28" s="164" t="s">
        <v>134</v>
      </c>
      <c r="C28" s="57" t="s">
        <v>135</v>
      </c>
      <c r="D28" s="56" t="s">
        <v>120</v>
      </c>
      <c r="E28" s="56" t="s">
        <v>121</v>
      </c>
      <c r="F28" s="56" t="s">
        <v>122</v>
      </c>
      <c r="G28" s="56" t="s">
        <v>123</v>
      </c>
      <c r="H28" s="56" t="s">
        <v>124</v>
      </c>
      <c r="I28" s="56" t="s">
        <v>125</v>
      </c>
      <c r="J28" s="56" t="s">
        <v>126</v>
      </c>
      <c r="K28" s="58"/>
      <c r="L28" s="58"/>
      <c r="M28" s="58"/>
      <c r="N28" s="58"/>
      <c r="O28" s="58"/>
      <c r="P28" s="58"/>
      <c r="Q28" s="58"/>
    </row>
    <row r="29" spans="1:17" ht="28.25" customHeight="1" x14ac:dyDescent="0.35">
      <c r="A29" s="56"/>
      <c r="B29" s="164"/>
      <c r="C29" s="57" t="s">
        <v>133</v>
      </c>
      <c r="D29" s="56">
        <v>105</v>
      </c>
      <c r="E29" s="56">
        <v>105</v>
      </c>
      <c r="F29" s="56">
        <v>60</v>
      </c>
      <c r="G29" s="56">
        <v>50</v>
      </c>
      <c r="H29" s="56">
        <v>45</v>
      </c>
      <c r="I29" s="56">
        <v>40</v>
      </c>
      <c r="J29" s="56">
        <v>35</v>
      </c>
      <c r="K29" s="58"/>
      <c r="L29" s="58"/>
      <c r="M29" s="58"/>
      <c r="N29" s="58"/>
      <c r="O29" s="58"/>
      <c r="P29" s="58"/>
      <c r="Q29" s="58"/>
    </row>
    <row r="30" spans="1:17" ht="28.25" customHeight="1" x14ac:dyDescent="0.35">
      <c r="A30" s="56"/>
      <c r="B30" s="164"/>
      <c r="C30" s="57" t="s">
        <v>136</v>
      </c>
      <c r="D30" s="56" t="s">
        <v>120</v>
      </c>
      <c r="E30" s="56" t="s">
        <v>121</v>
      </c>
      <c r="F30" s="56" t="s">
        <v>122</v>
      </c>
      <c r="G30" s="56" t="s">
        <v>123</v>
      </c>
      <c r="H30" s="56" t="s">
        <v>124</v>
      </c>
      <c r="I30" s="56" t="s">
        <v>125</v>
      </c>
      <c r="J30" s="56" t="s">
        <v>126</v>
      </c>
      <c r="K30" s="58"/>
      <c r="L30" s="58"/>
      <c r="M30" s="58"/>
      <c r="N30" s="58"/>
      <c r="O30" s="58"/>
      <c r="P30" s="58"/>
      <c r="Q30" s="58"/>
    </row>
    <row r="31" spans="1:17" ht="28.25" customHeight="1" x14ac:dyDescent="0.35">
      <c r="A31" s="56"/>
      <c r="B31" s="164"/>
      <c r="C31" s="57" t="s">
        <v>133</v>
      </c>
      <c r="D31" s="56">
        <v>10</v>
      </c>
      <c r="E31" s="56">
        <v>10</v>
      </c>
      <c r="F31" s="56">
        <v>5</v>
      </c>
      <c r="G31" s="56">
        <v>10</v>
      </c>
      <c r="H31" s="56">
        <v>5</v>
      </c>
      <c r="I31" s="56">
        <v>10</v>
      </c>
      <c r="J31" s="56">
        <v>15</v>
      </c>
      <c r="K31" s="58"/>
      <c r="L31" s="58"/>
      <c r="M31" s="58"/>
      <c r="N31" s="58"/>
      <c r="O31" s="58"/>
      <c r="P31" s="58"/>
      <c r="Q31" s="58"/>
    </row>
    <row r="32" spans="1:17" ht="32.4" customHeight="1" x14ac:dyDescent="0.35">
      <c r="A32" s="56"/>
      <c r="B32" s="164"/>
      <c r="C32" s="57" t="s">
        <v>138</v>
      </c>
      <c r="D32" s="56" t="s">
        <v>127</v>
      </c>
      <c r="E32" s="56" t="s">
        <v>128</v>
      </c>
      <c r="F32" s="56" t="s">
        <v>129</v>
      </c>
      <c r="G32" s="56" t="s">
        <v>130</v>
      </c>
      <c r="H32" s="56" t="s">
        <v>131</v>
      </c>
      <c r="I32" s="56" t="s">
        <v>132</v>
      </c>
      <c r="J32" s="58"/>
      <c r="K32" s="58"/>
      <c r="L32" s="58"/>
      <c r="M32" s="58"/>
      <c r="N32" s="58"/>
      <c r="O32" s="58"/>
      <c r="P32" s="58"/>
      <c r="Q32" s="58"/>
    </row>
    <row r="33" spans="1:17" ht="28.25" customHeight="1" x14ac:dyDescent="0.35">
      <c r="A33" s="56"/>
      <c r="B33" s="164"/>
      <c r="C33" s="57" t="s">
        <v>133</v>
      </c>
      <c r="D33" s="56">
        <v>5</v>
      </c>
      <c r="E33" s="56">
        <v>5</v>
      </c>
      <c r="F33" s="56">
        <v>5</v>
      </c>
      <c r="G33" s="56">
        <v>5</v>
      </c>
      <c r="H33" s="56">
        <v>5</v>
      </c>
      <c r="I33" s="56">
        <v>5</v>
      </c>
      <c r="J33" s="58"/>
      <c r="K33" s="58"/>
      <c r="L33" s="58"/>
      <c r="M33" s="58"/>
      <c r="N33" s="58"/>
      <c r="O33" s="58"/>
      <c r="P33" s="58"/>
      <c r="Q33" s="58"/>
    </row>
    <row r="34" spans="1:17" ht="28.25" customHeight="1" x14ac:dyDescent="0.35">
      <c r="A34" s="56"/>
      <c r="B34" s="164"/>
      <c r="C34" s="57" t="s">
        <v>137</v>
      </c>
      <c r="D34" s="56" t="s">
        <v>127</v>
      </c>
      <c r="E34" s="56" t="s">
        <v>128</v>
      </c>
      <c r="F34" s="56" t="s">
        <v>129</v>
      </c>
      <c r="G34" s="56" t="s">
        <v>130</v>
      </c>
      <c r="H34" s="56" t="s">
        <v>131</v>
      </c>
      <c r="I34" s="56" t="s">
        <v>132</v>
      </c>
      <c r="J34" s="58"/>
      <c r="K34" s="58"/>
      <c r="L34" s="58"/>
      <c r="M34" s="58"/>
      <c r="N34" s="58"/>
      <c r="O34" s="58"/>
      <c r="P34" s="58"/>
      <c r="Q34" s="58"/>
    </row>
    <row r="35" spans="1:17" ht="28.25" customHeight="1" x14ac:dyDescent="0.35">
      <c r="A35" s="56"/>
      <c r="B35" s="164"/>
      <c r="C35" s="57" t="s">
        <v>133</v>
      </c>
      <c r="D35" s="56">
        <v>9</v>
      </c>
      <c r="E35" s="56">
        <v>9</v>
      </c>
      <c r="F35" s="56">
        <v>9</v>
      </c>
      <c r="G35" s="56">
        <v>9</v>
      </c>
      <c r="H35" s="56">
        <v>9</v>
      </c>
      <c r="I35" s="56">
        <v>9</v>
      </c>
      <c r="J35" s="58"/>
      <c r="K35" s="58"/>
      <c r="L35" s="58"/>
      <c r="M35" s="58"/>
      <c r="N35" s="58"/>
      <c r="O35" s="58"/>
      <c r="P35" s="58"/>
      <c r="Q35" s="58"/>
    </row>
    <row r="36" spans="1:17" ht="84" customHeight="1" x14ac:dyDescent="0.35">
      <c r="A36" s="56"/>
      <c r="B36" s="154" t="s">
        <v>175</v>
      </c>
      <c r="C36" s="86" t="s">
        <v>176</v>
      </c>
      <c r="D36" s="57" t="s">
        <v>181</v>
      </c>
      <c r="E36" s="57" t="s">
        <v>58</v>
      </c>
      <c r="F36" s="57" t="s">
        <v>182</v>
      </c>
      <c r="G36" s="57" t="s">
        <v>183</v>
      </c>
      <c r="H36" s="56" t="s">
        <v>59</v>
      </c>
      <c r="I36" s="57">
        <v>2500</v>
      </c>
      <c r="J36" s="58"/>
      <c r="K36" s="58"/>
      <c r="L36" s="58"/>
      <c r="M36" s="58"/>
      <c r="N36" s="58"/>
      <c r="O36" s="58"/>
      <c r="P36" s="58"/>
      <c r="Q36" s="58"/>
    </row>
    <row r="37" spans="1:17" ht="59" customHeight="1" x14ac:dyDescent="0.35">
      <c r="A37" s="56"/>
      <c r="B37" s="155"/>
      <c r="C37" s="86" t="s">
        <v>177</v>
      </c>
      <c r="D37" s="57" t="s">
        <v>185</v>
      </c>
      <c r="E37" s="57" t="s">
        <v>186</v>
      </c>
      <c r="F37" s="56" t="s">
        <v>187</v>
      </c>
      <c r="G37" s="57" t="s">
        <v>188</v>
      </c>
      <c r="H37" s="57" t="s">
        <v>184</v>
      </c>
      <c r="I37" s="89">
        <v>50000</v>
      </c>
      <c r="J37" s="58"/>
      <c r="K37" s="58"/>
      <c r="L37" s="58"/>
      <c r="M37" s="58"/>
      <c r="N37" s="58"/>
      <c r="O37" s="58"/>
      <c r="P37" s="58"/>
      <c r="Q37" s="58"/>
    </row>
    <row r="38" spans="1:17" ht="58.5" customHeight="1" x14ac:dyDescent="0.35">
      <c r="A38" s="56"/>
      <c r="B38" s="155"/>
      <c r="C38" s="86" t="s">
        <v>178</v>
      </c>
      <c r="D38" s="57" t="s">
        <v>204</v>
      </c>
      <c r="E38" s="56" t="s">
        <v>207</v>
      </c>
      <c r="F38" s="57" t="s">
        <v>206</v>
      </c>
      <c r="G38" s="57" t="s">
        <v>205</v>
      </c>
      <c r="H38" s="56">
        <v>15</v>
      </c>
      <c r="I38" s="89">
        <v>40000</v>
      </c>
      <c r="J38" s="58"/>
      <c r="K38" s="58"/>
      <c r="L38" s="58"/>
      <c r="M38" s="58"/>
      <c r="N38" s="58"/>
      <c r="O38" s="58"/>
      <c r="P38" s="58"/>
      <c r="Q38" s="58"/>
    </row>
    <row r="39" spans="1:17" ht="58" customHeight="1" x14ac:dyDescent="0.35">
      <c r="A39" s="56"/>
      <c r="B39" s="155"/>
      <c r="C39" s="86" t="s">
        <v>189</v>
      </c>
      <c r="D39" s="57" t="s">
        <v>191</v>
      </c>
      <c r="E39" s="56" t="s">
        <v>66</v>
      </c>
      <c r="F39" s="57" t="s">
        <v>192</v>
      </c>
      <c r="G39" s="56" t="s">
        <v>190</v>
      </c>
      <c r="H39" s="57" t="s">
        <v>193</v>
      </c>
      <c r="I39" s="89">
        <v>20000</v>
      </c>
      <c r="J39" s="58"/>
      <c r="K39" s="58"/>
      <c r="L39" s="58"/>
      <c r="M39" s="58"/>
      <c r="N39" s="58"/>
      <c r="O39" s="58"/>
      <c r="P39" s="58"/>
      <c r="Q39" s="58"/>
    </row>
    <row r="40" spans="1:17" ht="51" customHeight="1" x14ac:dyDescent="0.35">
      <c r="A40" s="56"/>
      <c r="B40" s="155"/>
      <c r="C40" s="86" t="s">
        <v>180</v>
      </c>
      <c r="D40" s="57" t="s">
        <v>194</v>
      </c>
      <c r="E40" s="56" t="s">
        <v>195</v>
      </c>
      <c r="F40" s="57" t="s">
        <v>196</v>
      </c>
      <c r="G40" s="56" t="s">
        <v>197</v>
      </c>
      <c r="H40" s="57" t="s">
        <v>198</v>
      </c>
      <c r="I40" s="56">
        <v>2000</v>
      </c>
      <c r="J40" s="58"/>
      <c r="K40" s="58"/>
      <c r="L40" s="58"/>
      <c r="M40" s="58"/>
      <c r="N40" s="58"/>
      <c r="O40" s="58"/>
      <c r="P40" s="58"/>
      <c r="Q40" s="58"/>
    </row>
    <row r="41" spans="1:17" ht="64.5" customHeight="1" x14ac:dyDescent="0.35">
      <c r="A41" s="56"/>
      <c r="B41" s="156"/>
      <c r="C41" s="86" t="s">
        <v>179</v>
      </c>
      <c r="D41" s="57" t="s">
        <v>199</v>
      </c>
      <c r="E41" s="57" t="s">
        <v>200</v>
      </c>
      <c r="F41" s="57" t="s">
        <v>201</v>
      </c>
      <c r="G41" s="56" t="s">
        <v>202</v>
      </c>
      <c r="H41" s="57" t="s">
        <v>203</v>
      </c>
      <c r="I41" s="89">
        <v>15000</v>
      </c>
      <c r="J41" s="58"/>
      <c r="K41" s="58"/>
      <c r="L41" s="58"/>
      <c r="M41" s="58"/>
      <c r="N41" s="58"/>
      <c r="O41" s="58"/>
      <c r="P41" s="58"/>
      <c r="Q41" s="58"/>
    </row>
    <row r="42" spans="1:17" ht="83.5" customHeight="1" x14ac:dyDescent="0.35">
      <c r="A42" s="56"/>
      <c r="B42" s="154" t="s">
        <v>140</v>
      </c>
      <c r="C42" s="152" t="s">
        <v>64</v>
      </c>
      <c r="D42" s="64" t="s">
        <v>60</v>
      </c>
      <c r="E42" s="87" t="s">
        <v>142</v>
      </c>
      <c r="F42" s="57" t="s">
        <v>146</v>
      </c>
      <c r="G42" s="56" t="s">
        <v>145</v>
      </c>
      <c r="H42" s="57" t="s">
        <v>147</v>
      </c>
      <c r="I42" s="57" t="s">
        <v>150</v>
      </c>
      <c r="J42" s="58"/>
      <c r="K42" s="58"/>
      <c r="L42" s="58"/>
      <c r="M42" s="58"/>
      <c r="N42" s="58"/>
      <c r="O42" s="58"/>
      <c r="P42" s="58"/>
      <c r="Q42" s="58"/>
    </row>
    <row r="43" spans="1:17" ht="79" customHeight="1" x14ac:dyDescent="0.35">
      <c r="A43" s="56"/>
      <c r="B43" s="155"/>
      <c r="C43" s="153"/>
      <c r="D43" s="64" t="s">
        <v>65</v>
      </c>
      <c r="E43" s="88" t="s">
        <v>143</v>
      </c>
      <c r="F43" s="57" t="s">
        <v>144</v>
      </c>
      <c r="G43" s="64" t="s">
        <v>145</v>
      </c>
      <c r="H43" s="64" t="s">
        <v>148</v>
      </c>
      <c r="I43" s="64" t="s">
        <v>149</v>
      </c>
      <c r="J43" s="58"/>
      <c r="K43" s="58"/>
      <c r="L43" s="58"/>
      <c r="M43" s="58"/>
      <c r="N43" s="58"/>
      <c r="O43" s="58"/>
      <c r="P43" s="58"/>
      <c r="Q43" s="58"/>
    </row>
    <row r="44" spans="1:17" ht="66.5" customHeight="1" x14ac:dyDescent="0.35">
      <c r="A44" s="56"/>
      <c r="B44" s="155"/>
      <c r="C44" s="152" t="s">
        <v>151</v>
      </c>
      <c r="D44" s="64" t="s">
        <v>152</v>
      </c>
      <c r="E44" s="88" t="s">
        <v>154</v>
      </c>
      <c r="F44" s="168" t="s">
        <v>156</v>
      </c>
      <c r="G44" s="152" t="s">
        <v>157</v>
      </c>
      <c r="H44" s="152" t="s">
        <v>158</v>
      </c>
      <c r="I44" s="152" t="s">
        <v>159</v>
      </c>
      <c r="J44" s="58"/>
      <c r="K44" s="58"/>
      <c r="L44" s="58"/>
      <c r="M44" s="58"/>
      <c r="N44" s="58"/>
      <c r="O44" s="58"/>
      <c r="P44" s="58"/>
      <c r="Q44" s="58"/>
    </row>
    <row r="45" spans="1:17" ht="68.5" customHeight="1" x14ac:dyDescent="0.35">
      <c r="A45" s="56"/>
      <c r="B45" s="155"/>
      <c r="C45" s="153"/>
      <c r="D45" s="64" t="s">
        <v>153</v>
      </c>
      <c r="E45" s="88" t="s">
        <v>155</v>
      </c>
      <c r="F45" s="170"/>
      <c r="G45" s="153"/>
      <c r="H45" s="153"/>
      <c r="I45" s="153"/>
      <c r="J45" s="58"/>
      <c r="K45" s="58"/>
      <c r="L45" s="58"/>
      <c r="M45" s="58"/>
      <c r="N45" s="58"/>
      <c r="O45" s="58"/>
      <c r="P45" s="58"/>
      <c r="Q45" s="58"/>
    </row>
    <row r="46" spans="1:17" ht="75.5" customHeight="1" x14ac:dyDescent="0.35">
      <c r="A46" s="56"/>
      <c r="B46" s="155"/>
      <c r="C46" s="152" t="s">
        <v>160</v>
      </c>
      <c r="D46" s="152" t="s">
        <v>163</v>
      </c>
      <c r="E46" s="160" t="s">
        <v>66</v>
      </c>
      <c r="F46" s="152" t="s">
        <v>161</v>
      </c>
      <c r="G46" s="152" t="s">
        <v>162</v>
      </c>
      <c r="H46" s="152" t="s">
        <v>164</v>
      </c>
      <c r="I46" s="152" t="s">
        <v>165</v>
      </c>
      <c r="J46" s="58"/>
      <c r="K46" s="58"/>
      <c r="L46" s="58"/>
      <c r="M46" s="58"/>
      <c r="N46" s="58"/>
      <c r="O46" s="58"/>
      <c r="P46" s="58"/>
      <c r="Q46" s="58"/>
    </row>
    <row r="47" spans="1:17" ht="15.5" customHeight="1" x14ac:dyDescent="0.35">
      <c r="A47" s="56"/>
      <c r="B47" s="155"/>
      <c r="C47" s="153"/>
      <c r="D47" s="153"/>
      <c r="E47" s="161"/>
      <c r="F47" s="153"/>
      <c r="G47" s="153"/>
      <c r="H47" s="153"/>
      <c r="I47" s="153"/>
      <c r="J47" s="58"/>
      <c r="K47" s="58"/>
      <c r="L47" s="58"/>
      <c r="M47" s="58"/>
      <c r="N47" s="58"/>
      <c r="O47" s="58"/>
      <c r="P47" s="58"/>
      <c r="Q47" s="58"/>
    </row>
    <row r="48" spans="1:17" ht="69.5" customHeight="1" x14ac:dyDescent="0.35">
      <c r="A48" s="56"/>
      <c r="B48" s="155"/>
      <c r="C48" s="63" t="s">
        <v>61</v>
      </c>
      <c r="D48" s="64" t="s">
        <v>67</v>
      </c>
      <c r="E48" s="64" t="s">
        <v>63</v>
      </c>
      <c r="F48" s="64" t="s">
        <v>66</v>
      </c>
      <c r="G48" s="64" t="s">
        <v>62</v>
      </c>
      <c r="H48" s="64" t="s">
        <v>69</v>
      </c>
      <c r="I48" s="64"/>
      <c r="J48" s="58"/>
      <c r="K48" s="58"/>
      <c r="L48" s="58"/>
      <c r="M48" s="58"/>
      <c r="N48" s="58"/>
      <c r="O48" s="58"/>
      <c r="P48" s="58"/>
      <c r="Q48" s="58"/>
    </row>
    <row r="49" spans="1:17" ht="28.25" customHeight="1" x14ac:dyDescent="0.35">
      <c r="A49" s="56"/>
      <c r="B49" s="156"/>
      <c r="C49" s="146" t="s">
        <v>18</v>
      </c>
      <c r="D49" s="147"/>
      <c r="E49" s="147"/>
      <c r="F49" s="147"/>
      <c r="G49" s="147"/>
      <c r="H49" s="147"/>
      <c r="I49" s="148"/>
      <c r="J49" s="58"/>
      <c r="K49" s="58"/>
      <c r="L49" s="58"/>
      <c r="M49" s="58"/>
      <c r="N49" s="58"/>
      <c r="O49" s="58"/>
      <c r="P49" s="58"/>
      <c r="Q49" s="58"/>
    </row>
    <row r="50" spans="1:17" ht="28.25" customHeight="1" x14ac:dyDescent="0.35">
      <c r="A50" s="56"/>
      <c r="B50" s="168" t="s">
        <v>141</v>
      </c>
      <c r="C50" s="149" t="s">
        <v>19</v>
      </c>
      <c r="D50" s="150"/>
      <c r="E50" s="150"/>
      <c r="F50" s="150"/>
      <c r="G50" s="150"/>
      <c r="H50" s="150"/>
      <c r="I50" s="151"/>
      <c r="J50" s="58"/>
      <c r="K50" s="58"/>
      <c r="L50" s="58"/>
      <c r="M50" s="58"/>
      <c r="N50" s="58"/>
      <c r="O50" s="58"/>
      <c r="P50" s="58"/>
      <c r="Q50" s="58"/>
    </row>
    <row r="51" spans="1:17" ht="104" customHeight="1" x14ac:dyDescent="0.35">
      <c r="A51" s="56"/>
      <c r="B51" s="169"/>
      <c r="C51" s="64" t="s">
        <v>174</v>
      </c>
      <c r="D51" s="64" t="s">
        <v>169</v>
      </c>
      <c r="E51" s="63" t="s">
        <v>167</v>
      </c>
      <c r="F51" s="63" t="s">
        <v>56</v>
      </c>
      <c r="G51" s="63" t="s">
        <v>166</v>
      </c>
      <c r="H51" s="64" t="s">
        <v>168</v>
      </c>
      <c r="I51" s="63">
        <v>500</v>
      </c>
      <c r="J51" s="58"/>
      <c r="K51" s="58"/>
      <c r="L51" s="58"/>
      <c r="M51" s="58"/>
      <c r="N51" s="58"/>
      <c r="O51" s="58"/>
      <c r="P51" s="58"/>
      <c r="Q51" s="58"/>
    </row>
    <row r="52" spans="1:17" ht="77" customHeight="1" x14ac:dyDescent="0.35">
      <c r="A52" s="56"/>
      <c r="B52" s="169"/>
      <c r="C52" s="64" t="s">
        <v>70</v>
      </c>
      <c r="D52" s="64" t="s">
        <v>70</v>
      </c>
      <c r="E52" s="64" t="s">
        <v>170</v>
      </c>
      <c r="F52" s="64" t="s">
        <v>171</v>
      </c>
      <c r="G52" s="63" t="s">
        <v>56</v>
      </c>
      <c r="H52" s="64" t="s">
        <v>168</v>
      </c>
      <c r="I52" s="64">
        <v>5000</v>
      </c>
      <c r="K52" s="58"/>
      <c r="L52" s="58"/>
      <c r="M52" s="58"/>
      <c r="N52" s="58"/>
      <c r="O52" s="58"/>
      <c r="P52" s="58"/>
      <c r="Q52" s="58"/>
    </row>
    <row r="53" spans="1:17" ht="80.5" customHeight="1" x14ac:dyDescent="0.35">
      <c r="A53" s="56"/>
      <c r="B53" s="169"/>
      <c r="C53" s="64" t="s">
        <v>173</v>
      </c>
      <c r="D53" s="64" t="s">
        <v>173</v>
      </c>
      <c r="E53" s="64" t="s">
        <v>71</v>
      </c>
      <c r="F53" s="64" t="s">
        <v>172</v>
      </c>
      <c r="G53" s="64" t="s">
        <v>68</v>
      </c>
      <c r="H53" s="64" t="s">
        <v>72</v>
      </c>
      <c r="I53" s="64">
        <v>5000</v>
      </c>
      <c r="K53" s="58"/>
      <c r="L53" s="58"/>
      <c r="M53" s="58"/>
      <c r="N53" s="58"/>
      <c r="O53" s="58"/>
      <c r="P53" s="58"/>
      <c r="Q53" s="58"/>
    </row>
    <row r="54" spans="1:17" ht="80.5" customHeight="1" x14ac:dyDescent="0.35">
      <c r="A54" s="64"/>
      <c r="B54" s="64"/>
      <c r="C54" s="63"/>
      <c r="D54" s="64"/>
      <c r="E54" s="64"/>
      <c r="F54" s="64"/>
      <c r="G54" s="64"/>
      <c r="H54" s="64"/>
      <c r="I54" s="64"/>
      <c r="K54" s="58"/>
      <c r="L54" s="58"/>
      <c r="M54" s="58"/>
      <c r="N54" s="58"/>
      <c r="O54" s="58"/>
      <c r="P54" s="58"/>
      <c r="Q54" s="58"/>
    </row>
    <row r="55" spans="1:17" s="60" customFormat="1" x14ac:dyDescent="0.35">
      <c r="A55" s="64"/>
      <c r="B55" s="64"/>
      <c r="C55" s="57"/>
      <c r="D55" s="57"/>
      <c r="E55" s="57"/>
      <c r="F55" s="57"/>
      <c r="G55" s="57"/>
      <c r="H55" s="57"/>
      <c r="I55" s="56"/>
      <c r="K55" s="58"/>
      <c r="L55" s="58"/>
    </row>
    <row r="56" spans="1:17" s="58" customFormat="1" x14ac:dyDescent="0.35">
      <c r="A56" s="64"/>
      <c r="B56" s="64"/>
      <c r="C56" s="56"/>
      <c r="D56" s="57"/>
      <c r="E56" s="57"/>
      <c r="F56" s="57"/>
      <c r="G56" s="57"/>
      <c r="H56" s="57"/>
      <c r="I56" s="56"/>
    </row>
    <row r="57" spans="1:17" s="58" customFormat="1" x14ac:dyDescent="0.35">
      <c r="A57" s="64"/>
      <c r="B57" s="64"/>
      <c r="C57" s="56"/>
      <c r="D57" s="57"/>
      <c r="E57" s="57"/>
      <c r="F57" s="57"/>
      <c r="G57" s="57"/>
      <c r="H57" s="57"/>
      <c r="I57" s="56"/>
    </row>
    <row r="58" spans="1:17" s="58" customFormat="1" x14ac:dyDescent="0.35">
      <c r="A58" s="64"/>
      <c r="B58" s="64"/>
      <c r="I58" s="56"/>
    </row>
    <row r="59" spans="1:17" ht="111" customHeight="1" x14ac:dyDescent="0.35">
      <c r="A59" s="64"/>
      <c r="B59" s="64"/>
      <c r="C59" s="57"/>
      <c r="D59" s="57"/>
      <c r="E59" s="57"/>
      <c r="F59" s="57"/>
      <c r="G59" s="57"/>
      <c r="H59" s="57"/>
      <c r="I59" s="61"/>
      <c r="K59" s="58"/>
      <c r="L59" s="58"/>
    </row>
    <row r="60" spans="1:17" x14ac:dyDescent="0.35">
      <c r="A60" s="64"/>
      <c r="B60" s="64"/>
      <c r="C60" s="57"/>
      <c r="D60" s="57"/>
      <c r="E60" s="57"/>
      <c r="F60" s="57"/>
      <c r="G60" s="57"/>
      <c r="H60" s="57"/>
      <c r="I60" s="61"/>
      <c r="K60" s="58"/>
      <c r="L60" s="58"/>
    </row>
    <row r="61" spans="1:17" ht="96.65" customHeight="1" x14ac:dyDescent="0.35">
      <c r="A61" s="64"/>
      <c r="B61" s="64"/>
      <c r="C61" s="57"/>
      <c r="D61" s="57"/>
      <c r="E61" s="57"/>
      <c r="F61" s="57"/>
      <c r="G61" s="57"/>
      <c r="H61" s="57"/>
      <c r="I61" s="61"/>
      <c r="K61" s="58"/>
      <c r="L61" s="58"/>
    </row>
    <row r="62" spans="1:17" ht="103.75" customHeight="1" x14ac:dyDescent="0.35">
      <c r="A62" s="64"/>
      <c r="B62" s="64"/>
      <c r="C62" s="57"/>
      <c r="D62" s="57"/>
      <c r="E62" s="57"/>
      <c r="F62" s="57"/>
      <c r="G62" s="57"/>
      <c r="H62" s="57"/>
      <c r="I62" s="61"/>
      <c r="K62" s="58"/>
      <c r="L62" s="58"/>
    </row>
    <row r="63" spans="1:17" ht="130.25" customHeight="1" x14ac:dyDescent="0.35">
      <c r="A63" s="64"/>
      <c r="B63" s="64"/>
      <c r="C63" s="57"/>
      <c r="D63" s="57"/>
      <c r="E63" s="57"/>
      <c r="F63" s="57"/>
      <c r="G63" s="57"/>
      <c r="H63" s="57"/>
      <c r="I63" s="61"/>
      <c r="K63" s="58"/>
      <c r="L63" s="58"/>
    </row>
    <row r="64" spans="1:17" x14ac:dyDescent="0.35">
      <c r="A64" s="64"/>
      <c r="B64" s="64"/>
      <c r="I64" s="61"/>
      <c r="K64" s="58"/>
      <c r="L64" s="58"/>
    </row>
    <row r="65" spans="1:12" x14ac:dyDescent="0.35">
      <c r="A65" s="163"/>
      <c r="B65" s="163"/>
      <c r="C65" s="163"/>
      <c r="D65" s="163"/>
      <c r="E65" s="163"/>
      <c r="F65" s="163"/>
      <c r="G65" s="163"/>
      <c r="H65" s="163"/>
      <c r="I65" s="62"/>
      <c r="K65" s="58"/>
      <c r="L65" s="58"/>
    </row>
    <row r="66" spans="1:12" x14ac:dyDescent="0.35">
      <c r="A66" s="163"/>
      <c r="B66" s="163"/>
      <c r="C66" s="163"/>
      <c r="D66" s="163"/>
      <c r="E66" s="163"/>
      <c r="F66" s="163"/>
      <c r="G66" s="163"/>
      <c r="H66" s="163"/>
      <c r="I66" s="163"/>
      <c r="K66" s="58"/>
      <c r="L66" s="58"/>
    </row>
    <row r="67" spans="1:12" s="58" customFormat="1" ht="89.4" customHeight="1" x14ac:dyDescent="0.35">
      <c r="A67" s="64"/>
      <c r="B67" s="64"/>
      <c r="C67" s="64"/>
      <c r="D67" s="64"/>
      <c r="E67" s="64"/>
      <c r="F67" s="64"/>
      <c r="G67" s="64"/>
      <c r="H67" s="64"/>
      <c r="I67" s="64"/>
    </row>
    <row r="68" spans="1:12" s="58" customFormat="1" ht="85.25" customHeight="1" x14ac:dyDescent="0.35">
      <c r="A68" s="64"/>
      <c r="B68" s="64"/>
      <c r="C68" s="64"/>
      <c r="D68" s="64"/>
      <c r="E68" s="64"/>
      <c r="F68" s="64"/>
      <c r="G68" s="64"/>
      <c r="H68" s="64"/>
      <c r="I68" s="64"/>
    </row>
    <row r="69" spans="1:12" s="58" customFormat="1" x14ac:dyDescent="0.35">
      <c r="A69" s="64"/>
      <c r="B69" s="64"/>
      <c r="C69" s="64"/>
      <c r="D69" s="64"/>
      <c r="E69" s="64"/>
      <c r="F69" s="64"/>
      <c r="G69" s="64"/>
      <c r="H69" s="64"/>
      <c r="I69" s="64"/>
    </row>
    <row r="70" spans="1:12" x14ac:dyDescent="0.35">
      <c r="A70" s="64"/>
      <c r="B70" s="64"/>
      <c r="C70" s="64"/>
      <c r="D70" s="64"/>
      <c r="E70" s="64"/>
      <c r="F70" s="64"/>
      <c r="G70" s="64"/>
      <c r="H70" s="64"/>
      <c r="I70" s="64"/>
      <c r="K70" s="58"/>
      <c r="L70" s="58"/>
    </row>
    <row r="71" spans="1:12" x14ac:dyDescent="0.35">
      <c r="A71" s="64"/>
      <c r="B71" s="64"/>
      <c r="C71" s="64"/>
      <c r="D71" s="64"/>
      <c r="E71" s="64"/>
      <c r="F71" s="64"/>
      <c r="G71" s="64"/>
      <c r="H71" s="64"/>
      <c r="I71" s="64"/>
      <c r="K71" s="58"/>
      <c r="L71" s="58"/>
    </row>
    <row r="72" spans="1:12" s="58" customFormat="1" x14ac:dyDescent="0.35">
      <c r="A72" s="64"/>
      <c r="B72" s="64"/>
      <c r="C72" s="64"/>
      <c r="D72" s="64"/>
      <c r="E72" s="64"/>
      <c r="F72" s="64"/>
      <c r="G72" s="64"/>
      <c r="H72" s="64"/>
      <c r="I72" s="64"/>
    </row>
    <row r="73" spans="1:12" s="66" customFormat="1" x14ac:dyDescent="0.35">
      <c r="A73" s="64"/>
      <c r="B73" s="64"/>
      <c r="C73" s="64"/>
      <c r="D73" s="64"/>
      <c r="E73" s="64"/>
      <c r="F73" s="64"/>
      <c r="G73" s="64"/>
      <c r="H73" s="64"/>
      <c r="I73" s="64"/>
    </row>
    <row r="74" spans="1:12" s="58" customFormat="1" ht="41.5" customHeight="1" x14ac:dyDescent="0.35">
      <c r="A74" s="64"/>
      <c r="B74" s="64"/>
      <c r="C74" s="64"/>
      <c r="D74" s="64"/>
      <c r="E74" s="64"/>
      <c r="F74" s="64"/>
      <c r="G74" s="64"/>
      <c r="H74" s="64"/>
      <c r="I74" s="64"/>
    </row>
    <row r="75" spans="1:12" ht="15.5" hidden="1" customHeight="1" x14ac:dyDescent="0.35">
      <c r="A75" s="64"/>
      <c r="B75" s="64"/>
      <c r="C75" s="64"/>
      <c r="D75" s="64"/>
      <c r="E75" s="64"/>
      <c r="F75" s="64"/>
      <c r="G75" s="64"/>
      <c r="H75" s="64"/>
      <c r="I75" s="64"/>
    </row>
    <row r="76" spans="1:12" x14ac:dyDescent="0.35">
      <c r="A76" s="64"/>
      <c r="B76" s="64"/>
      <c r="C76" s="64"/>
      <c r="D76" s="64"/>
      <c r="E76" s="64"/>
      <c r="F76" s="64"/>
      <c r="G76" s="64"/>
      <c r="H76" s="64"/>
      <c r="I76" s="64"/>
    </row>
    <row r="77" spans="1:12" x14ac:dyDescent="0.35">
      <c r="A77" s="64"/>
      <c r="B77" s="64"/>
      <c r="C77" s="64"/>
      <c r="D77" s="64"/>
      <c r="E77" s="64"/>
      <c r="F77" s="64"/>
      <c r="G77" s="64"/>
      <c r="H77" s="64"/>
      <c r="I77" s="64"/>
    </row>
    <row r="78" spans="1:12" x14ac:dyDescent="0.35">
      <c r="A78" s="64"/>
      <c r="B78" s="64"/>
      <c r="C78" s="64"/>
      <c r="D78" s="64"/>
      <c r="E78" s="64"/>
      <c r="F78" s="64"/>
      <c r="G78" s="64"/>
      <c r="H78" s="64"/>
      <c r="I78" s="64"/>
      <c r="J78" s="55"/>
    </row>
    <row r="79" spans="1:12" x14ac:dyDescent="0.35">
      <c r="A79" s="64"/>
      <c r="B79" s="64"/>
      <c r="C79" s="64"/>
      <c r="D79" s="64"/>
      <c r="E79" s="64"/>
      <c r="F79" s="64"/>
      <c r="G79" s="64"/>
      <c r="H79" s="64"/>
      <c r="I79" s="64"/>
      <c r="J79" s="55"/>
    </row>
    <row r="80" spans="1:12" x14ac:dyDescent="0.35">
      <c r="A80" s="64"/>
      <c r="B80" s="64"/>
      <c r="C80" s="64"/>
      <c r="D80" s="64"/>
      <c r="E80" s="64"/>
      <c r="F80" s="64"/>
      <c r="G80" s="64"/>
      <c r="H80" s="64"/>
      <c r="I80" s="64"/>
      <c r="J80" s="55"/>
    </row>
    <row r="81" spans="1:11" x14ac:dyDescent="0.35">
      <c r="A81" s="64"/>
      <c r="B81" s="64"/>
      <c r="C81" s="64"/>
      <c r="D81" s="64"/>
      <c r="E81" s="64"/>
      <c r="F81" s="64"/>
      <c r="G81" s="64"/>
      <c r="H81" s="64"/>
      <c r="I81" s="64"/>
      <c r="J81" s="55"/>
    </row>
    <row r="82" spans="1:11" x14ac:dyDescent="0.35">
      <c r="A82" s="64"/>
      <c r="B82" s="64"/>
      <c r="C82" s="64"/>
      <c r="D82" s="64"/>
      <c r="E82" s="64"/>
      <c r="F82" s="64"/>
      <c r="G82" s="64"/>
      <c r="H82" s="64"/>
      <c r="I82" s="64"/>
      <c r="J82" s="55"/>
      <c r="K82" s="8"/>
    </row>
    <row r="83" spans="1:11" x14ac:dyDescent="0.35">
      <c r="A83" s="64"/>
      <c r="B83" s="64"/>
      <c r="C83" s="64"/>
      <c r="D83" s="64"/>
      <c r="E83" s="64"/>
      <c r="F83" s="64"/>
      <c r="G83" s="64"/>
      <c r="H83" s="64"/>
      <c r="I83" s="64"/>
      <c r="J83" s="55"/>
    </row>
    <row r="84" spans="1:11" x14ac:dyDescent="0.35">
      <c r="A84" s="64"/>
      <c r="B84" s="64"/>
      <c r="C84" s="64"/>
      <c r="D84" s="64"/>
      <c r="E84" s="64"/>
      <c r="F84" s="64"/>
      <c r="G84" s="64"/>
      <c r="H84" s="64"/>
      <c r="I84" s="64"/>
      <c r="J84" s="55"/>
    </row>
    <row r="85" spans="1:11" x14ac:dyDescent="0.35">
      <c r="A85" s="64"/>
      <c r="B85" s="64"/>
      <c r="C85" s="64"/>
      <c r="D85" s="64"/>
      <c r="E85" s="64"/>
      <c r="F85" s="64"/>
      <c r="G85" s="64"/>
      <c r="H85" s="64"/>
      <c r="I85" s="64"/>
      <c r="J85" s="55"/>
    </row>
    <row r="86" spans="1:11" x14ac:dyDescent="0.35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1" x14ac:dyDescent="0.35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1" x14ac:dyDescent="0.35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1" x14ac:dyDescent="0.35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1" x14ac:dyDescent="0.35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1" x14ac:dyDescent="0.35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1" x14ac:dyDescent="0.35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1" x14ac:dyDescent="0.35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1" x14ac:dyDescent="0.35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1" x14ac:dyDescent="0.35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1" x14ac:dyDescent="0.35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 x14ac:dyDescent="0.35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 x14ac:dyDescent="0.35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 x14ac:dyDescent="0.35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 x14ac:dyDescent="0.35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  <row r="101" spans="1:10" x14ac:dyDescent="0.35">
      <c r="A101" s="55"/>
      <c r="B101" s="55"/>
      <c r="C101" s="55"/>
      <c r="D101" s="55"/>
      <c r="E101" s="55"/>
      <c r="F101" s="55"/>
      <c r="G101" s="55"/>
      <c r="H101" s="55"/>
      <c r="I101" s="55"/>
      <c r="J101" s="55"/>
    </row>
    <row r="102" spans="1:10" x14ac:dyDescent="0.35">
      <c r="A102" s="55"/>
      <c r="B102" s="55"/>
      <c r="C102" s="55"/>
      <c r="D102" s="55"/>
      <c r="E102" s="55"/>
      <c r="F102" s="55"/>
      <c r="G102" s="55"/>
      <c r="H102" s="55"/>
      <c r="I102" s="55"/>
      <c r="J102" s="55"/>
    </row>
    <row r="103" spans="1:10" x14ac:dyDescent="0.35">
      <c r="A103" s="55"/>
      <c r="B103" s="55"/>
      <c r="C103" s="55"/>
      <c r="D103" s="55"/>
      <c r="E103" s="55"/>
      <c r="F103" s="55"/>
      <c r="G103" s="55"/>
      <c r="H103" s="55"/>
      <c r="I103" s="55"/>
      <c r="J103" s="55"/>
    </row>
    <row r="104" spans="1:10" x14ac:dyDescent="0.35">
      <c r="A104" s="55"/>
      <c r="B104" s="55"/>
      <c r="C104" s="55"/>
      <c r="D104" s="55"/>
      <c r="E104" s="55"/>
      <c r="F104" s="55"/>
      <c r="G104" s="55"/>
      <c r="H104" s="55"/>
      <c r="I104" s="55"/>
      <c r="J104" s="55"/>
    </row>
    <row r="105" spans="1:10" x14ac:dyDescent="0.35">
      <c r="A105" s="55"/>
      <c r="B105" s="55"/>
      <c r="C105" s="55"/>
      <c r="D105" s="55"/>
      <c r="E105" s="55"/>
      <c r="F105" s="55"/>
      <c r="G105" s="55"/>
      <c r="H105" s="55"/>
      <c r="I105" s="55"/>
      <c r="J105" s="55"/>
    </row>
    <row r="106" spans="1:10" x14ac:dyDescent="0.35">
      <c r="A106" s="55"/>
      <c r="B106" s="55"/>
      <c r="C106" s="55"/>
      <c r="D106" s="55"/>
      <c r="E106" s="55"/>
      <c r="F106" s="55"/>
      <c r="G106" s="55"/>
      <c r="H106" s="55"/>
      <c r="I106" s="55"/>
      <c r="J106" s="55"/>
    </row>
    <row r="107" spans="1:10" x14ac:dyDescent="0.35">
      <c r="A107" s="55"/>
      <c r="B107" s="55"/>
      <c r="C107" s="55"/>
      <c r="D107" s="55"/>
      <c r="E107" s="55"/>
      <c r="F107" s="55"/>
      <c r="G107" s="55"/>
      <c r="H107" s="55"/>
      <c r="I107" s="55"/>
      <c r="J107" s="55"/>
    </row>
    <row r="108" spans="1:10" x14ac:dyDescent="0.35">
      <c r="A108" s="55"/>
      <c r="B108" s="55"/>
      <c r="C108" s="55"/>
      <c r="D108" s="55"/>
      <c r="E108" s="55"/>
      <c r="F108" s="55"/>
      <c r="G108" s="55"/>
      <c r="H108" s="55"/>
      <c r="I108" s="55"/>
      <c r="J108" s="55"/>
    </row>
    <row r="109" spans="1:10" x14ac:dyDescent="0.35">
      <c r="A109" s="55"/>
      <c r="B109" s="55"/>
      <c r="C109" s="55"/>
      <c r="D109" s="55"/>
      <c r="E109" s="55"/>
      <c r="F109" s="55"/>
      <c r="G109" s="55"/>
      <c r="H109" s="55"/>
      <c r="I109" s="55"/>
      <c r="J109" s="55"/>
    </row>
    <row r="110" spans="1:10" x14ac:dyDescent="0.35">
      <c r="A110" s="55"/>
      <c r="B110" s="55"/>
      <c r="C110" s="55"/>
      <c r="D110" s="55"/>
      <c r="E110" s="55"/>
      <c r="F110" s="55"/>
      <c r="G110" s="55"/>
      <c r="H110" s="55"/>
      <c r="I110" s="55"/>
      <c r="J110" s="55"/>
    </row>
    <row r="111" spans="1:10" x14ac:dyDescent="0.35">
      <c r="A111" s="55"/>
      <c r="B111" s="55"/>
      <c r="C111" s="55"/>
      <c r="D111" s="55"/>
      <c r="E111" s="55"/>
      <c r="F111" s="55"/>
      <c r="G111" s="55"/>
      <c r="H111" s="55"/>
      <c r="I111" s="55"/>
      <c r="J111" s="55"/>
    </row>
    <row r="112" spans="1:10" x14ac:dyDescent="0.35">
      <c r="A112" s="55"/>
      <c r="B112" s="55"/>
      <c r="C112" s="55"/>
      <c r="D112" s="55"/>
      <c r="E112" s="55"/>
      <c r="F112" s="55"/>
      <c r="G112" s="55"/>
      <c r="H112" s="55"/>
      <c r="I112" s="55"/>
      <c r="J112" s="55"/>
    </row>
    <row r="113" spans="1:10" x14ac:dyDescent="0.35">
      <c r="A113" s="55"/>
      <c r="B113" s="55"/>
      <c r="C113" s="55"/>
      <c r="D113" s="55"/>
      <c r="E113" s="55"/>
      <c r="F113" s="55"/>
      <c r="G113" s="55"/>
      <c r="H113" s="55"/>
      <c r="I113" s="55"/>
      <c r="J113" s="55"/>
    </row>
    <row r="114" spans="1:10" x14ac:dyDescent="0.35">
      <c r="A114" s="55"/>
      <c r="B114" s="55"/>
      <c r="C114" s="55"/>
      <c r="D114" s="55"/>
      <c r="E114" s="55"/>
      <c r="F114" s="55"/>
      <c r="G114" s="55"/>
      <c r="H114" s="55"/>
      <c r="I114" s="55"/>
      <c r="J114" s="55"/>
    </row>
    <row r="115" spans="1:10" x14ac:dyDescent="0.35">
      <c r="A115" s="55"/>
      <c r="B115" s="55"/>
      <c r="C115" s="55"/>
      <c r="D115" s="55"/>
      <c r="E115" s="55"/>
      <c r="F115" s="55"/>
      <c r="G115" s="55"/>
      <c r="H115" s="55"/>
      <c r="I115" s="55"/>
      <c r="J115" s="55"/>
    </row>
    <row r="116" spans="1:10" x14ac:dyDescent="0.35">
      <c r="A116" s="55"/>
      <c r="B116" s="55"/>
      <c r="C116" s="55"/>
      <c r="D116" s="55"/>
      <c r="E116" s="55"/>
      <c r="F116" s="55"/>
      <c r="G116" s="55"/>
      <c r="H116" s="55"/>
      <c r="I116" s="55"/>
      <c r="J116" s="55"/>
    </row>
    <row r="117" spans="1:10" x14ac:dyDescent="0.35">
      <c r="A117" s="55"/>
      <c r="B117" s="55"/>
      <c r="C117" s="55"/>
      <c r="D117" s="55"/>
      <c r="E117" s="55"/>
      <c r="F117" s="55"/>
      <c r="G117" s="55"/>
      <c r="H117" s="55"/>
      <c r="I117" s="55"/>
      <c r="J117" s="55"/>
    </row>
    <row r="118" spans="1:10" x14ac:dyDescent="0.35">
      <c r="A118" s="55"/>
      <c r="B118" s="55"/>
      <c r="C118" s="55"/>
      <c r="D118" s="55"/>
      <c r="E118" s="55"/>
      <c r="F118" s="55"/>
      <c r="G118" s="55"/>
      <c r="H118" s="55"/>
      <c r="I118" s="55"/>
      <c r="J118" s="55"/>
    </row>
    <row r="119" spans="1:10" x14ac:dyDescent="0.35">
      <c r="A119" s="55"/>
      <c r="B119" s="55"/>
      <c r="C119" s="55"/>
      <c r="D119" s="55"/>
      <c r="E119" s="55"/>
      <c r="F119" s="55"/>
      <c r="G119" s="55"/>
      <c r="H119" s="55"/>
      <c r="I119" s="55"/>
      <c r="J119" s="55"/>
    </row>
    <row r="120" spans="1:10" x14ac:dyDescent="0.35">
      <c r="A120" s="55"/>
      <c r="B120" s="55"/>
      <c r="C120" s="55"/>
      <c r="D120" s="55"/>
      <c r="E120" s="55"/>
      <c r="F120" s="55"/>
      <c r="G120" s="55"/>
      <c r="H120" s="55"/>
      <c r="I120" s="55"/>
      <c r="J120" s="55"/>
    </row>
    <row r="121" spans="1:10" x14ac:dyDescent="0.35">
      <c r="A121" s="55"/>
      <c r="B121" s="55"/>
      <c r="C121" s="55"/>
      <c r="D121" s="55"/>
      <c r="E121" s="55"/>
      <c r="F121" s="55"/>
      <c r="G121" s="55"/>
      <c r="H121" s="55"/>
      <c r="I121" s="55"/>
      <c r="J121" s="55"/>
    </row>
    <row r="122" spans="1:10" x14ac:dyDescent="0.35">
      <c r="A122" s="55"/>
      <c r="B122" s="55"/>
      <c r="C122" s="55"/>
      <c r="D122" s="55"/>
      <c r="E122" s="55"/>
      <c r="F122" s="55"/>
      <c r="G122" s="55"/>
      <c r="H122" s="55"/>
      <c r="I122" s="55"/>
      <c r="J122" s="55"/>
    </row>
    <row r="123" spans="1:10" x14ac:dyDescent="0.35">
      <c r="A123" s="55"/>
      <c r="B123" s="55"/>
      <c r="C123" s="55"/>
      <c r="D123" s="55"/>
      <c r="E123" s="55"/>
      <c r="F123" s="55"/>
      <c r="G123" s="55"/>
      <c r="H123" s="55"/>
      <c r="I123" s="55"/>
      <c r="J123" s="55"/>
    </row>
    <row r="124" spans="1:10" x14ac:dyDescent="0.35">
      <c r="A124" s="55"/>
      <c r="B124" s="55"/>
      <c r="C124" s="55"/>
      <c r="D124" s="55"/>
      <c r="E124" s="55"/>
      <c r="F124" s="55"/>
      <c r="G124" s="55"/>
      <c r="H124" s="55"/>
      <c r="I124" s="55"/>
      <c r="J124" s="55"/>
    </row>
    <row r="125" spans="1:10" x14ac:dyDescent="0.35">
      <c r="A125" s="55"/>
      <c r="B125" s="55"/>
      <c r="C125" s="55"/>
      <c r="D125" s="55"/>
      <c r="E125" s="55"/>
      <c r="F125" s="55"/>
      <c r="G125" s="55"/>
      <c r="H125" s="55"/>
      <c r="I125" s="55"/>
      <c r="J125" s="55"/>
    </row>
    <row r="126" spans="1:10" x14ac:dyDescent="0.35">
      <c r="A126" s="55"/>
      <c r="B126" s="55"/>
      <c r="C126" s="55"/>
      <c r="D126" s="55"/>
      <c r="E126" s="55"/>
      <c r="F126" s="55"/>
      <c r="G126" s="55"/>
      <c r="H126" s="55"/>
      <c r="I126" s="55"/>
      <c r="J126" s="55"/>
    </row>
    <row r="127" spans="1:10" x14ac:dyDescent="0.35">
      <c r="A127" s="55"/>
      <c r="B127" s="55"/>
      <c r="C127" s="55"/>
      <c r="D127" s="55"/>
      <c r="E127" s="55"/>
      <c r="F127" s="55"/>
      <c r="G127" s="55"/>
      <c r="H127" s="55"/>
      <c r="I127" s="55"/>
      <c r="J127" s="55"/>
    </row>
    <row r="128" spans="1:10" x14ac:dyDescent="0.35">
      <c r="A128" s="55"/>
      <c r="B128" s="55"/>
      <c r="C128" s="55"/>
      <c r="D128" s="55"/>
      <c r="E128" s="55"/>
      <c r="F128" s="55"/>
      <c r="G128" s="55"/>
      <c r="H128" s="55"/>
      <c r="I128" s="55"/>
      <c r="J128" s="55"/>
    </row>
    <row r="129" spans="1:10" x14ac:dyDescent="0.35">
      <c r="A129" s="55"/>
      <c r="B129" s="55"/>
      <c r="C129" s="55"/>
      <c r="D129" s="55"/>
      <c r="E129" s="55"/>
      <c r="F129" s="55"/>
      <c r="G129" s="55"/>
      <c r="H129" s="55"/>
      <c r="I129" s="55"/>
      <c r="J129" s="55"/>
    </row>
    <row r="130" spans="1:10" x14ac:dyDescent="0.35">
      <c r="A130" s="55"/>
      <c r="B130" s="55"/>
      <c r="C130" s="55"/>
      <c r="D130" s="55"/>
      <c r="E130" s="55"/>
      <c r="F130" s="55"/>
      <c r="G130" s="55"/>
      <c r="H130" s="55"/>
      <c r="I130" s="55"/>
      <c r="J130" s="55"/>
    </row>
    <row r="131" spans="1:10" x14ac:dyDescent="0.35">
      <c r="A131" s="55"/>
      <c r="B131" s="55"/>
      <c r="C131" s="55"/>
      <c r="D131" s="55"/>
      <c r="E131" s="55"/>
      <c r="F131" s="55"/>
      <c r="G131" s="55"/>
      <c r="H131" s="55"/>
      <c r="I131" s="55"/>
      <c r="J131" s="55"/>
    </row>
    <row r="132" spans="1:10" x14ac:dyDescent="0.35">
      <c r="A132" s="55"/>
      <c r="B132" s="55"/>
      <c r="C132" s="55"/>
      <c r="D132" s="55"/>
      <c r="E132" s="55"/>
      <c r="F132" s="55"/>
      <c r="G132" s="55"/>
      <c r="H132" s="55"/>
      <c r="I132" s="55"/>
      <c r="J132" s="55"/>
    </row>
    <row r="133" spans="1:10" x14ac:dyDescent="0.35">
      <c r="A133" s="55"/>
      <c r="B133" s="55"/>
      <c r="C133" s="55"/>
      <c r="D133" s="55"/>
      <c r="E133" s="55"/>
      <c r="F133" s="55"/>
      <c r="G133" s="55"/>
      <c r="H133" s="55"/>
      <c r="I133" s="55"/>
      <c r="J133" s="55"/>
    </row>
    <row r="134" spans="1:10" x14ac:dyDescent="0.35">
      <c r="A134" s="55"/>
      <c r="B134" s="55"/>
      <c r="C134" s="55"/>
      <c r="D134" s="55"/>
      <c r="E134" s="55"/>
      <c r="F134" s="55"/>
      <c r="G134" s="55"/>
      <c r="H134" s="55"/>
      <c r="I134" s="55"/>
      <c r="J134" s="55"/>
    </row>
    <row r="135" spans="1:10" x14ac:dyDescent="0.35">
      <c r="A135" s="55"/>
      <c r="B135" s="55"/>
      <c r="C135" s="55"/>
      <c r="D135" s="55"/>
      <c r="E135" s="55"/>
      <c r="F135" s="55"/>
      <c r="G135" s="55"/>
      <c r="H135" s="55"/>
      <c r="I135" s="55"/>
      <c r="J135" s="55"/>
    </row>
    <row r="136" spans="1:10" x14ac:dyDescent="0.35">
      <c r="A136" s="55"/>
      <c r="B136" s="55"/>
      <c r="C136" s="55"/>
      <c r="D136" s="55"/>
      <c r="E136" s="55"/>
      <c r="F136" s="55"/>
      <c r="G136" s="55"/>
      <c r="H136" s="55"/>
      <c r="I136" s="55"/>
      <c r="J136" s="55"/>
    </row>
    <row r="137" spans="1:10" x14ac:dyDescent="0.35">
      <c r="A137" s="55"/>
      <c r="B137" s="55"/>
      <c r="C137" s="55"/>
      <c r="D137" s="55"/>
      <c r="E137" s="55"/>
      <c r="F137" s="55"/>
      <c r="G137" s="55"/>
      <c r="H137" s="55"/>
      <c r="I137" s="55"/>
      <c r="J137" s="55"/>
    </row>
    <row r="138" spans="1:10" x14ac:dyDescent="0.35">
      <c r="A138" s="55"/>
      <c r="B138" s="55"/>
      <c r="C138" s="55"/>
      <c r="D138" s="55"/>
      <c r="E138" s="55"/>
      <c r="F138" s="55"/>
      <c r="G138" s="55"/>
      <c r="H138" s="55"/>
      <c r="I138" s="55"/>
      <c r="J138" s="55"/>
    </row>
    <row r="139" spans="1:10" x14ac:dyDescent="0.35">
      <c r="A139" s="55"/>
      <c r="B139" s="55"/>
      <c r="C139" s="55"/>
      <c r="D139" s="55"/>
      <c r="E139" s="55"/>
      <c r="F139" s="55"/>
      <c r="G139" s="55"/>
      <c r="H139" s="55"/>
      <c r="I139" s="55"/>
      <c r="J139" s="55"/>
    </row>
    <row r="140" spans="1:10" x14ac:dyDescent="0.35">
      <c r="A140" s="55"/>
      <c r="B140" s="55"/>
      <c r="C140" s="55"/>
      <c r="D140" s="55"/>
      <c r="E140" s="55"/>
      <c r="F140" s="55"/>
      <c r="G140" s="55"/>
      <c r="H140" s="55"/>
      <c r="I140" s="55"/>
      <c r="J140" s="55"/>
    </row>
    <row r="141" spans="1:10" x14ac:dyDescent="0.35">
      <c r="A141" s="55"/>
      <c r="B141" s="55"/>
      <c r="C141" s="55"/>
      <c r="D141" s="55"/>
      <c r="E141" s="55"/>
      <c r="F141" s="55"/>
      <c r="G141" s="55"/>
      <c r="H141" s="55"/>
      <c r="I141" s="55"/>
      <c r="J141" s="55"/>
    </row>
    <row r="142" spans="1:10" x14ac:dyDescent="0.35">
      <c r="A142" s="55"/>
      <c r="B142" s="55"/>
      <c r="C142" s="55"/>
      <c r="D142" s="55"/>
      <c r="E142" s="55"/>
      <c r="F142" s="55"/>
      <c r="G142" s="55"/>
      <c r="H142" s="55"/>
      <c r="I142" s="55"/>
      <c r="J142" s="55"/>
    </row>
    <row r="143" spans="1:10" x14ac:dyDescent="0.35">
      <c r="A143" s="55"/>
      <c r="B143" s="55"/>
      <c r="C143" s="55"/>
      <c r="D143" s="55"/>
      <c r="E143" s="55"/>
      <c r="F143" s="55"/>
      <c r="G143" s="55"/>
      <c r="H143" s="55"/>
      <c r="I143" s="55"/>
      <c r="J143" s="55"/>
    </row>
    <row r="144" spans="1:10" x14ac:dyDescent="0.35">
      <c r="A144" s="55"/>
      <c r="B144" s="55"/>
      <c r="C144" s="55"/>
      <c r="D144" s="55"/>
      <c r="E144" s="55"/>
      <c r="F144" s="55"/>
      <c r="G144" s="55"/>
      <c r="H144" s="55"/>
      <c r="I144" s="55"/>
      <c r="J144" s="55"/>
    </row>
    <row r="145" spans="1:9" x14ac:dyDescent="0.35">
      <c r="A145" s="55"/>
      <c r="B145" s="55"/>
      <c r="C145" s="55"/>
      <c r="D145" s="55"/>
      <c r="E145" s="55"/>
      <c r="F145" s="55"/>
      <c r="G145" s="55"/>
      <c r="H145" s="55"/>
      <c r="I145" s="65"/>
    </row>
    <row r="146" spans="1:9" x14ac:dyDescent="0.35">
      <c r="A146" s="55"/>
      <c r="B146" s="55"/>
      <c r="C146" s="55"/>
      <c r="D146" s="55"/>
      <c r="E146" s="55"/>
      <c r="F146" s="55"/>
      <c r="G146" s="55"/>
      <c r="H146" s="55"/>
      <c r="I146" s="65"/>
    </row>
    <row r="147" spans="1:9" x14ac:dyDescent="0.35">
      <c r="A147" s="55"/>
      <c r="B147" s="55"/>
      <c r="C147" s="55"/>
      <c r="D147" s="55"/>
      <c r="E147" s="55"/>
      <c r="F147" s="55"/>
      <c r="G147" s="55"/>
      <c r="H147" s="55"/>
      <c r="I147" s="65"/>
    </row>
    <row r="148" spans="1:9" x14ac:dyDescent="0.35">
      <c r="A148" s="55"/>
      <c r="B148" s="55"/>
      <c r="C148" s="55"/>
      <c r="D148" s="55"/>
      <c r="E148" s="55"/>
      <c r="F148" s="55"/>
      <c r="G148" s="55"/>
      <c r="H148" s="55"/>
      <c r="I148" s="65"/>
    </row>
    <row r="149" spans="1:9" x14ac:dyDescent="0.35">
      <c r="A149" s="55"/>
      <c r="B149" s="55"/>
      <c r="C149" s="55"/>
      <c r="D149" s="55"/>
      <c r="E149" s="55"/>
      <c r="F149" s="55"/>
      <c r="G149" s="55"/>
      <c r="H149" s="55"/>
      <c r="I149" s="65"/>
    </row>
    <row r="150" spans="1:9" x14ac:dyDescent="0.35">
      <c r="A150" s="55"/>
      <c r="B150" s="55"/>
      <c r="C150" s="55"/>
      <c r="D150" s="55"/>
      <c r="E150" s="55"/>
      <c r="F150" s="55"/>
      <c r="G150" s="55"/>
      <c r="H150" s="55"/>
      <c r="I150" s="65"/>
    </row>
    <row r="151" spans="1:9" x14ac:dyDescent="0.35">
      <c r="A151" s="55"/>
      <c r="B151" s="55"/>
      <c r="C151" s="55"/>
      <c r="D151" s="55"/>
      <c r="E151" s="55"/>
      <c r="F151" s="55"/>
      <c r="G151" s="55"/>
      <c r="H151" s="55"/>
      <c r="I151" s="65"/>
    </row>
    <row r="152" spans="1:9" x14ac:dyDescent="0.35">
      <c r="A152" s="55"/>
      <c r="B152" s="55"/>
      <c r="C152" s="55"/>
      <c r="D152" s="55"/>
      <c r="E152" s="55"/>
      <c r="F152" s="55"/>
      <c r="G152" s="55"/>
      <c r="H152" s="55"/>
      <c r="I152" s="65"/>
    </row>
    <row r="153" spans="1:9" x14ac:dyDescent="0.35">
      <c r="A153" s="55"/>
      <c r="B153" s="55"/>
      <c r="C153" s="55"/>
      <c r="D153" s="55"/>
      <c r="E153" s="55"/>
      <c r="F153" s="55"/>
      <c r="G153" s="55"/>
      <c r="H153" s="55"/>
      <c r="I153" s="65"/>
    </row>
    <row r="154" spans="1:9" x14ac:dyDescent="0.35">
      <c r="A154" s="55"/>
      <c r="B154" s="55"/>
      <c r="C154" s="55"/>
      <c r="D154" s="55"/>
      <c r="E154" s="55"/>
      <c r="F154" s="55"/>
      <c r="G154" s="55"/>
      <c r="H154" s="55"/>
      <c r="I154" s="65"/>
    </row>
    <row r="155" spans="1:9" x14ac:dyDescent="0.35">
      <c r="A155" s="55"/>
      <c r="B155" s="55"/>
      <c r="C155" s="55"/>
      <c r="D155" s="55"/>
      <c r="E155" s="55"/>
      <c r="F155" s="55"/>
      <c r="G155" s="55"/>
      <c r="H155" s="55"/>
      <c r="I155" s="65"/>
    </row>
    <row r="156" spans="1:9" x14ac:dyDescent="0.35">
      <c r="A156" s="55"/>
      <c r="B156" s="55"/>
      <c r="C156" s="55"/>
      <c r="D156" s="55"/>
      <c r="E156" s="55"/>
      <c r="F156" s="55"/>
      <c r="G156" s="55"/>
      <c r="H156" s="55"/>
      <c r="I156" s="65"/>
    </row>
    <row r="157" spans="1:9" x14ac:dyDescent="0.35">
      <c r="A157" s="55"/>
      <c r="B157" s="55"/>
      <c r="C157" s="55"/>
      <c r="D157" s="55"/>
      <c r="E157" s="55"/>
      <c r="F157" s="55"/>
      <c r="G157" s="55"/>
      <c r="H157" s="55"/>
      <c r="I157" s="65"/>
    </row>
    <row r="158" spans="1:9" x14ac:dyDescent="0.35">
      <c r="A158" s="55"/>
      <c r="B158" s="55"/>
      <c r="C158" s="55"/>
      <c r="D158" s="55"/>
      <c r="E158" s="55"/>
      <c r="F158" s="55"/>
      <c r="G158" s="55"/>
      <c r="H158" s="55"/>
      <c r="I158" s="65"/>
    </row>
    <row r="159" spans="1:9" x14ac:dyDescent="0.35">
      <c r="A159" s="55"/>
      <c r="B159" s="55"/>
      <c r="C159" s="55"/>
      <c r="D159" s="55"/>
      <c r="E159" s="55"/>
      <c r="F159" s="55"/>
      <c r="G159" s="55"/>
      <c r="H159" s="55"/>
      <c r="I159" s="65"/>
    </row>
    <row r="160" spans="1:9" x14ac:dyDescent="0.35">
      <c r="A160" s="55"/>
      <c r="B160" s="55"/>
      <c r="C160" s="55"/>
      <c r="D160" s="55"/>
      <c r="E160" s="55"/>
      <c r="F160" s="55"/>
      <c r="G160" s="55"/>
      <c r="H160" s="55"/>
      <c r="I160" s="65"/>
    </row>
    <row r="161" spans="1:9" x14ac:dyDescent="0.35">
      <c r="A161" s="55"/>
      <c r="B161" s="55"/>
      <c r="C161" s="55"/>
      <c r="D161" s="55"/>
      <c r="E161" s="55"/>
      <c r="F161" s="55"/>
      <c r="G161" s="55"/>
      <c r="H161" s="55"/>
      <c r="I161" s="65"/>
    </row>
    <row r="162" spans="1:9" x14ac:dyDescent="0.35">
      <c r="A162" s="55"/>
      <c r="B162" s="55"/>
      <c r="C162" s="55"/>
      <c r="D162" s="55"/>
      <c r="E162" s="55"/>
      <c r="F162" s="55"/>
      <c r="G162" s="55"/>
      <c r="H162" s="55"/>
      <c r="I162" s="65"/>
    </row>
    <row r="163" spans="1:9" x14ac:dyDescent="0.35">
      <c r="A163" s="55"/>
      <c r="B163" s="55"/>
      <c r="C163" s="55"/>
      <c r="D163" s="55"/>
      <c r="E163" s="55"/>
      <c r="F163" s="55"/>
      <c r="G163" s="55"/>
      <c r="H163" s="55"/>
      <c r="I163" s="65"/>
    </row>
    <row r="164" spans="1:9" x14ac:dyDescent="0.35">
      <c r="A164" s="55"/>
      <c r="B164" s="55"/>
      <c r="C164" s="55"/>
      <c r="D164" s="55"/>
      <c r="E164" s="55"/>
      <c r="F164" s="55"/>
      <c r="G164" s="55"/>
      <c r="H164" s="55"/>
      <c r="I164" s="65"/>
    </row>
    <row r="165" spans="1:9" x14ac:dyDescent="0.35">
      <c r="A165" s="55"/>
      <c r="B165" s="55"/>
      <c r="C165" s="55"/>
      <c r="D165" s="55"/>
      <c r="E165" s="55"/>
      <c r="F165" s="55"/>
      <c r="G165" s="55"/>
      <c r="H165" s="55"/>
      <c r="I165" s="65"/>
    </row>
    <row r="166" spans="1:9" x14ac:dyDescent="0.35">
      <c r="A166" s="55"/>
      <c r="B166" s="55"/>
      <c r="C166" s="55"/>
      <c r="D166" s="55"/>
      <c r="E166" s="55"/>
      <c r="F166" s="55"/>
      <c r="G166" s="55"/>
      <c r="H166" s="55"/>
      <c r="I166" s="65"/>
    </row>
    <row r="167" spans="1:9" x14ac:dyDescent="0.35">
      <c r="A167" s="55"/>
      <c r="B167" s="55"/>
      <c r="C167" s="55"/>
      <c r="D167" s="55"/>
      <c r="E167" s="55"/>
      <c r="F167" s="55"/>
      <c r="G167" s="55"/>
      <c r="H167" s="55"/>
      <c r="I167" s="65"/>
    </row>
    <row r="168" spans="1:9" x14ac:dyDescent="0.35">
      <c r="A168" s="55"/>
      <c r="B168" s="55"/>
      <c r="C168" s="55"/>
      <c r="D168" s="55"/>
      <c r="E168" s="55"/>
      <c r="F168" s="55"/>
      <c r="G168" s="55"/>
      <c r="H168" s="55"/>
      <c r="I168" s="65"/>
    </row>
    <row r="169" spans="1:9" x14ac:dyDescent="0.35">
      <c r="A169" s="55"/>
      <c r="B169" s="55"/>
      <c r="C169" s="55"/>
      <c r="D169" s="55"/>
      <c r="E169" s="55"/>
      <c r="F169" s="55"/>
      <c r="G169" s="55"/>
      <c r="H169" s="55"/>
      <c r="I169" s="65"/>
    </row>
    <row r="170" spans="1:9" x14ac:dyDescent="0.35">
      <c r="A170" s="55"/>
      <c r="B170" s="55"/>
      <c r="C170" s="55"/>
      <c r="D170" s="55"/>
      <c r="E170" s="55"/>
      <c r="F170" s="55"/>
      <c r="G170" s="55"/>
      <c r="H170" s="55"/>
      <c r="I170" s="65"/>
    </row>
    <row r="171" spans="1:9" x14ac:dyDescent="0.35">
      <c r="A171" s="55"/>
      <c r="B171" s="55"/>
      <c r="C171" s="55"/>
      <c r="D171" s="55"/>
      <c r="E171" s="55"/>
      <c r="F171" s="55"/>
      <c r="G171" s="55"/>
      <c r="H171" s="55"/>
      <c r="I171" s="65"/>
    </row>
    <row r="172" spans="1:9" x14ac:dyDescent="0.35">
      <c r="A172" s="55"/>
      <c r="B172" s="55"/>
      <c r="C172" s="55"/>
      <c r="D172" s="55"/>
      <c r="E172" s="55"/>
      <c r="F172" s="55"/>
      <c r="G172" s="55"/>
      <c r="H172" s="55"/>
      <c r="I172" s="65"/>
    </row>
    <row r="173" spans="1:9" x14ac:dyDescent="0.35">
      <c r="A173" s="55"/>
      <c r="B173" s="55"/>
      <c r="C173" s="55"/>
      <c r="D173" s="55"/>
      <c r="E173" s="55"/>
      <c r="F173" s="55"/>
      <c r="G173" s="55"/>
      <c r="H173" s="55"/>
      <c r="I173" s="65"/>
    </row>
    <row r="174" spans="1:9" x14ac:dyDescent="0.35">
      <c r="A174" s="55"/>
      <c r="B174" s="55"/>
      <c r="C174" s="55"/>
      <c r="D174" s="55"/>
      <c r="E174" s="55"/>
      <c r="F174" s="55"/>
      <c r="G174" s="55"/>
      <c r="H174" s="55"/>
      <c r="I174" s="65"/>
    </row>
    <row r="175" spans="1:9" x14ac:dyDescent="0.35">
      <c r="A175" s="55"/>
      <c r="B175" s="55"/>
      <c r="C175" s="55"/>
      <c r="D175" s="55"/>
      <c r="E175" s="55"/>
      <c r="F175" s="55"/>
      <c r="G175" s="55"/>
      <c r="H175" s="55"/>
      <c r="I175" s="65"/>
    </row>
    <row r="176" spans="1:9" x14ac:dyDescent="0.35">
      <c r="A176" s="55"/>
      <c r="B176" s="55"/>
      <c r="C176" s="55"/>
      <c r="D176" s="55"/>
      <c r="E176" s="55"/>
      <c r="F176" s="55"/>
      <c r="G176" s="55"/>
      <c r="H176" s="55"/>
      <c r="I176" s="65"/>
    </row>
    <row r="177" spans="1:9" x14ac:dyDescent="0.35">
      <c r="A177" s="55"/>
      <c r="B177" s="55"/>
      <c r="C177" s="55"/>
      <c r="D177" s="55"/>
      <c r="E177" s="55"/>
      <c r="F177" s="55"/>
      <c r="G177" s="55"/>
      <c r="H177" s="55"/>
      <c r="I177" s="65"/>
    </row>
  </sheetData>
  <mergeCells count="32">
    <mergeCell ref="C2:G2"/>
    <mergeCell ref="A65:H65"/>
    <mergeCell ref="A66:I66"/>
    <mergeCell ref="A16:I16"/>
    <mergeCell ref="A5:I5"/>
    <mergeCell ref="G7:I7"/>
    <mergeCell ref="G8:I8"/>
    <mergeCell ref="C18:C21"/>
    <mergeCell ref="D18:D21"/>
    <mergeCell ref="B28:B35"/>
    <mergeCell ref="B18:B21"/>
    <mergeCell ref="B50:B53"/>
    <mergeCell ref="I18:I21"/>
    <mergeCell ref="B22:B27"/>
    <mergeCell ref="C42:C43"/>
    <mergeCell ref="B42:B49"/>
    <mergeCell ref="B36:B41"/>
    <mergeCell ref="I22:I27"/>
    <mergeCell ref="E46:E47"/>
    <mergeCell ref="F46:F47"/>
    <mergeCell ref="G46:G47"/>
    <mergeCell ref="H46:H47"/>
    <mergeCell ref="C44:C45"/>
    <mergeCell ref="F44:F45"/>
    <mergeCell ref="G44:G45"/>
    <mergeCell ref="H44:H45"/>
    <mergeCell ref="I44:I45"/>
    <mergeCell ref="C46:C47"/>
    <mergeCell ref="C49:I49"/>
    <mergeCell ref="C50:I50"/>
    <mergeCell ref="D46:D47"/>
    <mergeCell ref="I46:I47"/>
  </mergeCells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Cycle 1 182 EB</vt:lpstr>
      <vt:lpstr>PLAN ANNUEL</vt:lpstr>
      <vt:lpstr>'PLAN ANNUEL'!Zone_d_impression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2025-05-03T18:36:38Z</cp:lastPrinted>
  <dcterms:created xsi:type="dcterms:W3CDTF">2025-04-27T11:09:32Z</dcterms:created>
  <dcterms:modified xsi:type="dcterms:W3CDTF">2026-06-21T15:08:17Z</dcterms:modified>
</cp:coreProperties>
</file>